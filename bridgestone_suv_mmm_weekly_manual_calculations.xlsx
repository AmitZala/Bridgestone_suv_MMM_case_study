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Dentsu\Case Study\Final\"/>
    </mc:Choice>
  </mc:AlternateContent>
  <xr:revisionPtr revIDLastSave="0" documentId="13_ncr:1_{23024435-AC22-4748-8AE6-A9BF3A638E4D}" xr6:coauthVersionLast="47" xr6:coauthVersionMax="47" xr10:uidLastSave="{00000000-0000-0000-0000-000000000000}"/>
  <bookViews>
    <workbookView xWindow="-108" yWindow="-108" windowWidth="23256" windowHeight="12456" xr2:uid="{6817B576-126D-4E94-A208-994221523FF2}"/>
  </bookViews>
  <sheets>
    <sheet name="Bridgestone_MMM" sheetId="5" r:id="rId1"/>
    <sheet name="Actual_vs_OLS_vs_Ridge" sheetId="6" r:id="rId2"/>
    <sheet name="Hill_Saturation" sheetId="7" r:id="rId3"/>
    <sheet name="Monsoon_vs_Sales_uni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H4" i="7"/>
  <c r="I4" i="7"/>
  <c r="J4" i="7"/>
  <c r="K4" i="7"/>
  <c r="L4" i="7"/>
  <c r="M4" i="7"/>
  <c r="N4" i="7"/>
  <c r="O4" i="7"/>
  <c r="G5" i="7"/>
  <c r="H5" i="7"/>
  <c r="I5" i="7"/>
  <c r="J5" i="7"/>
  <c r="K5" i="7"/>
  <c r="L5" i="7"/>
  <c r="M5" i="7"/>
  <c r="N5" i="7"/>
  <c r="O5" i="7"/>
  <c r="G6" i="7"/>
  <c r="H6" i="7"/>
  <c r="I6" i="7"/>
  <c r="J6" i="7"/>
  <c r="K6" i="7"/>
  <c r="L6" i="7"/>
  <c r="M6" i="7"/>
  <c r="N6" i="7"/>
  <c r="O6" i="7"/>
  <c r="G7" i="7"/>
  <c r="H7" i="7"/>
  <c r="I7" i="7"/>
  <c r="J7" i="7"/>
  <c r="K7" i="7"/>
  <c r="L7" i="7"/>
  <c r="M7" i="7"/>
  <c r="N7" i="7"/>
  <c r="O7" i="7"/>
  <c r="G8" i="7"/>
  <c r="H8" i="7"/>
  <c r="I8" i="7"/>
  <c r="J8" i="7"/>
  <c r="K8" i="7"/>
  <c r="L8" i="7"/>
  <c r="M8" i="7"/>
  <c r="N8" i="7"/>
  <c r="O8" i="7"/>
  <c r="G9" i="7"/>
  <c r="H9" i="7"/>
  <c r="I9" i="7"/>
  <c r="J9" i="7"/>
  <c r="K9" i="7"/>
  <c r="L9" i="7"/>
  <c r="M9" i="7"/>
  <c r="N9" i="7"/>
  <c r="O9" i="7"/>
  <c r="G10" i="7"/>
  <c r="H10" i="7"/>
  <c r="I10" i="7"/>
  <c r="J10" i="7"/>
  <c r="K10" i="7"/>
  <c r="L10" i="7"/>
  <c r="M10" i="7"/>
  <c r="N10" i="7"/>
  <c r="O10" i="7"/>
  <c r="G11" i="7"/>
  <c r="H11" i="7"/>
  <c r="I11" i="7"/>
  <c r="J11" i="7"/>
  <c r="K11" i="7"/>
  <c r="L11" i="7"/>
  <c r="M11" i="7"/>
  <c r="N11" i="7"/>
  <c r="O11" i="7"/>
  <c r="G12" i="7"/>
  <c r="H12" i="7"/>
  <c r="I12" i="7"/>
  <c r="J12" i="7"/>
  <c r="K12" i="7"/>
  <c r="L12" i="7"/>
  <c r="M12" i="7"/>
  <c r="N12" i="7"/>
  <c r="O12" i="7"/>
  <c r="G13" i="7"/>
  <c r="H13" i="7"/>
  <c r="I13" i="7"/>
  <c r="J13" i="7"/>
  <c r="K13" i="7"/>
  <c r="L13" i="7"/>
  <c r="M13" i="7"/>
  <c r="N13" i="7"/>
  <c r="O13" i="7"/>
  <c r="G14" i="7"/>
  <c r="H14" i="7"/>
  <c r="I14" i="7"/>
  <c r="J14" i="7"/>
  <c r="K14" i="7"/>
  <c r="L14" i="7"/>
  <c r="M14" i="7"/>
  <c r="N14" i="7"/>
  <c r="O14" i="7"/>
  <c r="G15" i="7"/>
  <c r="H15" i="7"/>
  <c r="I15" i="7"/>
  <c r="J15" i="7"/>
  <c r="K15" i="7"/>
  <c r="L15" i="7"/>
  <c r="M15" i="7"/>
  <c r="N15" i="7"/>
  <c r="O15" i="7"/>
  <c r="G16" i="7"/>
  <c r="H16" i="7"/>
  <c r="I16" i="7"/>
  <c r="J16" i="7"/>
  <c r="K16" i="7"/>
  <c r="L16" i="7"/>
  <c r="M16" i="7"/>
  <c r="N16" i="7"/>
  <c r="O16" i="7"/>
  <c r="G17" i="7"/>
  <c r="H17" i="7"/>
  <c r="I17" i="7"/>
  <c r="J17" i="7"/>
  <c r="K17" i="7"/>
  <c r="L17" i="7"/>
  <c r="M17" i="7"/>
  <c r="N17" i="7"/>
  <c r="O17" i="7"/>
  <c r="G18" i="7"/>
  <c r="H18" i="7"/>
  <c r="I18" i="7"/>
  <c r="J18" i="7"/>
  <c r="K18" i="7"/>
  <c r="L18" i="7"/>
  <c r="M18" i="7"/>
  <c r="N18" i="7"/>
  <c r="O18" i="7"/>
  <c r="G19" i="7"/>
  <c r="H19" i="7"/>
  <c r="I19" i="7"/>
  <c r="J19" i="7"/>
  <c r="K19" i="7"/>
  <c r="L19" i="7"/>
  <c r="M19" i="7"/>
  <c r="N19" i="7"/>
  <c r="O19" i="7"/>
  <c r="G20" i="7"/>
  <c r="H20" i="7"/>
  <c r="I20" i="7"/>
  <c r="J20" i="7"/>
  <c r="K20" i="7"/>
  <c r="L20" i="7"/>
  <c r="M20" i="7"/>
  <c r="N20" i="7"/>
  <c r="O20" i="7"/>
  <c r="G21" i="7"/>
  <c r="H21" i="7"/>
  <c r="I21" i="7"/>
  <c r="J21" i="7"/>
  <c r="K21" i="7"/>
  <c r="L21" i="7"/>
  <c r="M21" i="7"/>
  <c r="N21" i="7"/>
  <c r="O21" i="7"/>
  <c r="G22" i="7"/>
  <c r="H22" i="7"/>
  <c r="I22" i="7"/>
  <c r="J22" i="7"/>
  <c r="K22" i="7"/>
  <c r="L22" i="7"/>
  <c r="M22" i="7"/>
  <c r="N22" i="7"/>
  <c r="O22" i="7"/>
  <c r="G23" i="7"/>
  <c r="H23" i="7"/>
  <c r="I23" i="7"/>
  <c r="J23" i="7"/>
  <c r="K23" i="7"/>
  <c r="L23" i="7"/>
  <c r="M23" i="7"/>
  <c r="N23" i="7"/>
  <c r="O23" i="7"/>
  <c r="G24" i="7"/>
  <c r="H24" i="7"/>
  <c r="I24" i="7"/>
  <c r="J24" i="7"/>
  <c r="K24" i="7"/>
  <c r="L24" i="7"/>
  <c r="M24" i="7"/>
  <c r="N24" i="7"/>
  <c r="O24" i="7"/>
  <c r="G25" i="7"/>
  <c r="H25" i="7"/>
  <c r="I25" i="7"/>
  <c r="J25" i="7"/>
  <c r="K25" i="7"/>
  <c r="L25" i="7"/>
  <c r="M25" i="7"/>
  <c r="N25" i="7"/>
  <c r="O25" i="7"/>
  <c r="G26" i="7"/>
  <c r="H26" i="7"/>
  <c r="I26" i="7"/>
  <c r="J26" i="7"/>
  <c r="K26" i="7"/>
  <c r="L26" i="7"/>
  <c r="M26" i="7"/>
  <c r="N26" i="7"/>
  <c r="O26" i="7"/>
  <c r="G27" i="7"/>
  <c r="H27" i="7"/>
  <c r="I27" i="7"/>
  <c r="J27" i="7"/>
  <c r="K27" i="7"/>
  <c r="L27" i="7"/>
  <c r="M27" i="7"/>
  <c r="N27" i="7"/>
  <c r="O27" i="7"/>
  <c r="G28" i="7"/>
  <c r="H28" i="7"/>
  <c r="I28" i="7"/>
  <c r="J28" i="7"/>
  <c r="K28" i="7"/>
  <c r="L28" i="7"/>
  <c r="M28" i="7"/>
  <c r="N28" i="7"/>
  <c r="O28" i="7"/>
  <c r="G29" i="7"/>
  <c r="H29" i="7"/>
  <c r="I29" i="7"/>
  <c r="J29" i="7"/>
  <c r="K29" i="7"/>
  <c r="L29" i="7"/>
  <c r="M29" i="7"/>
  <c r="N29" i="7"/>
  <c r="O29" i="7"/>
  <c r="G30" i="7"/>
  <c r="H30" i="7"/>
  <c r="I30" i="7"/>
  <c r="J30" i="7"/>
  <c r="K30" i="7"/>
  <c r="L30" i="7"/>
  <c r="M30" i="7"/>
  <c r="N30" i="7"/>
  <c r="O30" i="7"/>
  <c r="G31" i="7"/>
  <c r="H31" i="7"/>
  <c r="I31" i="7"/>
  <c r="J31" i="7"/>
  <c r="K31" i="7"/>
  <c r="L31" i="7"/>
  <c r="M31" i="7"/>
  <c r="N31" i="7"/>
  <c r="O31" i="7"/>
  <c r="G32" i="7"/>
  <c r="H32" i="7"/>
  <c r="I32" i="7"/>
  <c r="J32" i="7"/>
  <c r="K32" i="7"/>
  <c r="L32" i="7"/>
  <c r="M32" i="7"/>
  <c r="N32" i="7"/>
  <c r="O32" i="7"/>
  <c r="G33" i="7"/>
  <c r="H33" i="7"/>
  <c r="I33" i="7"/>
  <c r="J33" i="7"/>
  <c r="K33" i="7"/>
  <c r="L33" i="7"/>
  <c r="M33" i="7"/>
  <c r="N33" i="7"/>
  <c r="O33" i="7"/>
  <c r="G34" i="7"/>
  <c r="H34" i="7"/>
  <c r="I34" i="7"/>
  <c r="J34" i="7"/>
  <c r="K34" i="7"/>
  <c r="L34" i="7"/>
  <c r="M34" i="7"/>
  <c r="N34" i="7"/>
  <c r="O34" i="7"/>
  <c r="G35" i="7"/>
  <c r="H35" i="7"/>
  <c r="I35" i="7"/>
  <c r="J35" i="7"/>
  <c r="K35" i="7"/>
  <c r="L35" i="7"/>
  <c r="M35" i="7"/>
  <c r="N35" i="7"/>
  <c r="O35" i="7"/>
  <c r="G36" i="7"/>
  <c r="H36" i="7"/>
  <c r="I36" i="7"/>
  <c r="J36" i="7"/>
  <c r="K36" i="7"/>
  <c r="L36" i="7"/>
  <c r="M36" i="7"/>
  <c r="N36" i="7"/>
  <c r="O36" i="7"/>
  <c r="G37" i="7"/>
  <c r="H37" i="7"/>
  <c r="I37" i="7"/>
  <c r="J37" i="7"/>
  <c r="K37" i="7"/>
  <c r="L37" i="7"/>
  <c r="M37" i="7"/>
  <c r="N37" i="7"/>
  <c r="O37" i="7"/>
  <c r="G38" i="7"/>
  <c r="H38" i="7"/>
  <c r="I38" i="7"/>
  <c r="J38" i="7"/>
  <c r="K38" i="7"/>
  <c r="L38" i="7"/>
  <c r="M38" i="7"/>
  <c r="N38" i="7"/>
  <c r="O38" i="7"/>
  <c r="G39" i="7"/>
  <c r="H39" i="7"/>
  <c r="I39" i="7"/>
  <c r="J39" i="7"/>
  <c r="K39" i="7"/>
  <c r="L39" i="7"/>
  <c r="M39" i="7"/>
  <c r="N39" i="7"/>
  <c r="O39" i="7"/>
  <c r="G40" i="7"/>
  <c r="H40" i="7"/>
  <c r="I40" i="7"/>
  <c r="J40" i="7"/>
  <c r="K40" i="7"/>
  <c r="L40" i="7"/>
  <c r="M40" i="7"/>
  <c r="N40" i="7"/>
  <c r="O40" i="7"/>
  <c r="G41" i="7"/>
  <c r="H41" i="7"/>
  <c r="I41" i="7"/>
  <c r="J41" i="7"/>
  <c r="K41" i="7"/>
  <c r="L41" i="7"/>
  <c r="M41" i="7"/>
  <c r="N41" i="7"/>
  <c r="O41" i="7"/>
  <c r="G42" i="7"/>
  <c r="H42" i="7"/>
  <c r="I42" i="7"/>
  <c r="J42" i="7"/>
  <c r="K42" i="7"/>
  <c r="L42" i="7"/>
  <c r="M42" i="7"/>
  <c r="N42" i="7"/>
  <c r="O42" i="7"/>
  <c r="G43" i="7"/>
  <c r="H43" i="7"/>
  <c r="I43" i="7"/>
  <c r="J43" i="7"/>
  <c r="K43" i="7"/>
  <c r="L43" i="7"/>
  <c r="M43" i="7"/>
  <c r="N43" i="7"/>
  <c r="O43" i="7"/>
  <c r="G44" i="7"/>
  <c r="H44" i="7"/>
  <c r="I44" i="7"/>
  <c r="J44" i="7"/>
  <c r="K44" i="7"/>
  <c r="L44" i="7"/>
  <c r="M44" i="7"/>
  <c r="N44" i="7"/>
  <c r="O44" i="7"/>
  <c r="G45" i="7"/>
  <c r="H45" i="7"/>
  <c r="I45" i="7"/>
  <c r="J45" i="7"/>
  <c r="K45" i="7"/>
  <c r="L45" i="7"/>
  <c r="M45" i="7"/>
  <c r="N45" i="7"/>
  <c r="O45" i="7"/>
  <c r="G46" i="7"/>
  <c r="H46" i="7"/>
  <c r="I46" i="7"/>
  <c r="J46" i="7"/>
  <c r="K46" i="7"/>
  <c r="L46" i="7"/>
  <c r="M46" i="7"/>
  <c r="N46" i="7"/>
  <c r="O46" i="7"/>
  <c r="G47" i="7"/>
  <c r="H47" i="7"/>
  <c r="I47" i="7"/>
  <c r="J47" i="7"/>
  <c r="K47" i="7"/>
  <c r="L47" i="7"/>
  <c r="M47" i="7"/>
  <c r="N47" i="7"/>
  <c r="O47" i="7"/>
  <c r="G48" i="7"/>
  <c r="H48" i="7"/>
  <c r="I48" i="7"/>
  <c r="J48" i="7"/>
  <c r="K48" i="7"/>
  <c r="L48" i="7"/>
  <c r="M48" i="7"/>
  <c r="N48" i="7"/>
  <c r="O48" i="7"/>
  <c r="G49" i="7"/>
  <c r="H49" i="7"/>
  <c r="I49" i="7"/>
  <c r="J49" i="7"/>
  <c r="K49" i="7"/>
  <c r="L49" i="7"/>
  <c r="M49" i="7"/>
  <c r="N49" i="7"/>
  <c r="O49" i="7"/>
  <c r="G50" i="7"/>
  <c r="H50" i="7"/>
  <c r="I50" i="7"/>
  <c r="J50" i="7"/>
  <c r="K50" i="7"/>
  <c r="L50" i="7"/>
  <c r="M50" i="7"/>
  <c r="N50" i="7"/>
  <c r="O50" i="7"/>
  <c r="G51" i="7"/>
  <c r="H51" i="7"/>
  <c r="I51" i="7"/>
  <c r="J51" i="7"/>
  <c r="K51" i="7"/>
  <c r="L51" i="7"/>
  <c r="M51" i="7"/>
  <c r="N51" i="7"/>
  <c r="O51" i="7"/>
  <c r="G52" i="7"/>
  <c r="H52" i="7"/>
  <c r="I52" i="7"/>
  <c r="J52" i="7"/>
  <c r="K52" i="7"/>
  <c r="L52" i="7"/>
  <c r="M52" i="7"/>
  <c r="N52" i="7"/>
  <c r="O52" i="7"/>
  <c r="G53" i="7"/>
  <c r="H53" i="7"/>
  <c r="I53" i="7"/>
  <c r="J53" i="7"/>
  <c r="K53" i="7"/>
  <c r="L53" i="7"/>
  <c r="M53" i="7"/>
  <c r="N53" i="7"/>
  <c r="O53" i="7"/>
  <c r="G54" i="7"/>
  <c r="H54" i="7"/>
  <c r="I54" i="7"/>
  <c r="J54" i="7"/>
  <c r="K54" i="7"/>
  <c r="L54" i="7"/>
  <c r="M54" i="7"/>
  <c r="N54" i="7"/>
  <c r="O54" i="7"/>
  <c r="G55" i="7"/>
  <c r="H55" i="7"/>
  <c r="I55" i="7"/>
  <c r="J55" i="7"/>
  <c r="K55" i="7"/>
  <c r="L55" i="7"/>
  <c r="M55" i="7"/>
  <c r="N55" i="7"/>
  <c r="O55" i="7"/>
  <c r="G56" i="7"/>
  <c r="H56" i="7"/>
  <c r="I56" i="7"/>
  <c r="J56" i="7"/>
  <c r="K56" i="7"/>
  <c r="L56" i="7"/>
  <c r="M56" i="7"/>
  <c r="N56" i="7"/>
  <c r="O56" i="7"/>
  <c r="G57" i="7"/>
  <c r="H57" i="7"/>
  <c r="I57" i="7"/>
  <c r="J57" i="7"/>
  <c r="K57" i="7"/>
  <c r="L57" i="7"/>
  <c r="M57" i="7"/>
  <c r="N57" i="7"/>
  <c r="O57" i="7"/>
  <c r="G58" i="7"/>
  <c r="H58" i="7"/>
  <c r="I58" i="7"/>
  <c r="J58" i="7"/>
  <c r="K58" i="7"/>
  <c r="L58" i="7"/>
  <c r="M58" i="7"/>
  <c r="N58" i="7"/>
  <c r="O58" i="7"/>
  <c r="G59" i="7"/>
  <c r="H59" i="7"/>
  <c r="I59" i="7"/>
  <c r="J59" i="7"/>
  <c r="K59" i="7"/>
  <c r="L59" i="7"/>
  <c r="M59" i="7"/>
  <c r="N59" i="7"/>
  <c r="O59" i="7"/>
  <c r="G60" i="7"/>
  <c r="H60" i="7"/>
  <c r="I60" i="7"/>
  <c r="J60" i="7"/>
  <c r="K60" i="7"/>
  <c r="L60" i="7"/>
  <c r="M60" i="7"/>
  <c r="N60" i="7"/>
  <c r="O60" i="7"/>
  <c r="G61" i="7"/>
  <c r="H61" i="7"/>
  <c r="I61" i="7"/>
  <c r="J61" i="7"/>
  <c r="K61" i="7"/>
  <c r="L61" i="7"/>
  <c r="M61" i="7"/>
  <c r="N61" i="7"/>
  <c r="O61" i="7"/>
  <c r="G62" i="7"/>
  <c r="H62" i="7"/>
  <c r="I62" i="7"/>
  <c r="J62" i="7"/>
  <c r="K62" i="7"/>
  <c r="L62" i="7"/>
  <c r="M62" i="7"/>
  <c r="N62" i="7"/>
  <c r="O62" i="7"/>
  <c r="G63" i="7"/>
  <c r="H63" i="7"/>
  <c r="I63" i="7"/>
  <c r="J63" i="7"/>
  <c r="K63" i="7"/>
  <c r="L63" i="7"/>
  <c r="M63" i="7"/>
  <c r="N63" i="7"/>
  <c r="O63" i="7"/>
  <c r="G64" i="7"/>
  <c r="H64" i="7"/>
  <c r="I64" i="7"/>
  <c r="J64" i="7"/>
  <c r="K64" i="7"/>
  <c r="L64" i="7"/>
  <c r="M64" i="7"/>
  <c r="N64" i="7"/>
  <c r="O64" i="7"/>
  <c r="G65" i="7"/>
  <c r="H65" i="7"/>
  <c r="I65" i="7"/>
  <c r="J65" i="7"/>
  <c r="K65" i="7"/>
  <c r="L65" i="7"/>
  <c r="M65" i="7"/>
  <c r="N65" i="7"/>
  <c r="O65" i="7"/>
  <c r="G66" i="7"/>
  <c r="H66" i="7"/>
  <c r="I66" i="7"/>
  <c r="J66" i="7"/>
  <c r="K66" i="7"/>
  <c r="L66" i="7"/>
  <c r="M66" i="7"/>
  <c r="N66" i="7"/>
  <c r="O66" i="7"/>
  <c r="G67" i="7"/>
  <c r="H67" i="7"/>
  <c r="I67" i="7"/>
  <c r="J67" i="7"/>
  <c r="K67" i="7"/>
  <c r="L67" i="7"/>
  <c r="M67" i="7"/>
  <c r="N67" i="7"/>
  <c r="O67" i="7"/>
  <c r="G68" i="7"/>
  <c r="H68" i="7"/>
  <c r="I68" i="7"/>
  <c r="J68" i="7"/>
  <c r="K68" i="7"/>
  <c r="L68" i="7"/>
  <c r="M68" i="7"/>
  <c r="N68" i="7"/>
  <c r="O68" i="7"/>
  <c r="G69" i="7"/>
  <c r="H69" i="7"/>
  <c r="I69" i="7"/>
  <c r="J69" i="7"/>
  <c r="K69" i="7"/>
  <c r="L69" i="7"/>
  <c r="M69" i="7"/>
  <c r="N69" i="7"/>
  <c r="O69" i="7"/>
  <c r="G70" i="7"/>
  <c r="H70" i="7"/>
  <c r="I70" i="7"/>
  <c r="J70" i="7"/>
  <c r="K70" i="7"/>
  <c r="L70" i="7"/>
  <c r="M70" i="7"/>
  <c r="N70" i="7"/>
  <c r="O70" i="7"/>
  <c r="G71" i="7"/>
  <c r="H71" i="7"/>
  <c r="I71" i="7"/>
  <c r="J71" i="7"/>
  <c r="K71" i="7"/>
  <c r="L71" i="7"/>
  <c r="M71" i="7"/>
  <c r="N71" i="7"/>
  <c r="O71" i="7"/>
  <c r="G72" i="7"/>
  <c r="H72" i="7"/>
  <c r="I72" i="7"/>
  <c r="J72" i="7"/>
  <c r="K72" i="7"/>
  <c r="L72" i="7"/>
  <c r="M72" i="7"/>
  <c r="N72" i="7"/>
  <c r="O72" i="7"/>
  <c r="G73" i="7"/>
  <c r="H73" i="7"/>
  <c r="I73" i="7"/>
  <c r="J73" i="7"/>
  <c r="K73" i="7"/>
  <c r="L73" i="7"/>
  <c r="M73" i="7"/>
  <c r="N73" i="7"/>
  <c r="O73" i="7"/>
  <c r="G74" i="7"/>
  <c r="H74" i="7"/>
  <c r="I74" i="7"/>
  <c r="J74" i="7"/>
  <c r="K74" i="7"/>
  <c r="L74" i="7"/>
  <c r="M74" i="7"/>
  <c r="N74" i="7"/>
  <c r="O74" i="7"/>
  <c r="G75" i="7"/>
  <c r="H75" i="7"/>
  <c r="I75" i="7"/>
  <c r="J75" i="7"/>
  <c r="K75" i="7"/>
  <c r="L75" i="7"/>
  <c r="M75" i="7"/>
  <c r="N75" i="7"/>
  <c r="O75" i="7"/>
  <c r="G76" i="7"/>
  <c r="H76" i="7"/>
  <c r="I76" i="7"/>
  <c r="J76" i="7"/>
  <c r="K76" i="7"/>
  <c r="L76" i="7"/>
  <c r="M76" i="7"/>
  <c r="N76" i="7"/>
  <c r="O76" i="7"/>
  <c r="G77" i="7"/>
  <c r="H77" i="7"/>
  <c r="I77" i="7"/>
  <c r="J77" i="7"/>
  <c r="K77" i="7"/>
  <c r="L77" i="7"/>
  <c r="M77" i="7"/>
  <c r="N77" i="7"/>
  <c r="O77" i="7"/>
  <c r="G78" i="7"/>
  <c r="H78" i="7"/>
  <c r="I78" i="7"/>
  <c r="J78" i="7"/>
  <c r="K78" i="7"/>
  <c r="L78" i="7"/>
  <c r="M78" i="7"/>
  <c r="N78" i="7"/>
  <c r="O78" i="7"/>
  <c r="G79" i="7"/>
  <c r="H79" i="7"/>
  <c r="I79" i="7"/>
  <c r="J79" i="7"/>
  <c r="K79" i="7"/>
  <c r="L79" i="7"/>
  <c r="M79" i="7"/>
  <c r="N79" i="7"/>
  <c r="O79" i="7"/>
  <c r="G80" i="7"/>
  <c r="H80" i="7"/>
  <c r="I80" i="7"/>
  <c r="J80" i="7"/>
  <c r="K80" i="7"/>
  <c r="L80" i="7"/>
  <c r="M80" i="7"/>
  <c r="N80" i="7"/>
  <c r="O80" i="7"/>
  <c r="G81" i="7"/>
  <c r="H81" i="7"/>
  <c r="I81" i="7"/>
  <c r="J81" i="7"/>
  <c r="K81" i="7"/>
  <c r="L81" i="7"/>
  <c r="M81" i="7"/>
  <c r="N81" i="7"/>
  <c r="O81" i="7"/>
  <c r="G82" i="7"/>
  <c r="H82" i="7"/>
  <c r="I82" i="7"/>
  <c r="J82" i="7"/>
  <c r="K82" i="7"/>
  <c r="L82" i="7"/>
  <c r="M82" i="7"/>
  <c r="N82" i="7"/>
  <c r="O82" i="7"/>
  <c r="G83" i="7"/>
  <c r="H83" i="7"/>
  <c r="I83" i="7"/>
  <c r="J83" i="7"/>
  <c r="K83" i="7"/>
  <c r="L83" i="7"/>
  <c r="M83" i="7"/>
  <c r="N83" i="7"/>
  <c r="O83" i="7"/>
  <c r="G84" i="7"/>
  <c r="H84" i="7"/>
  <c r="I84" i="7"/>
  <c r="J84" i="7"/>
  <c r="K84" i="7"/>
  <c r="L84" i="7"/>
  <c r="M84" i="7"/>
  <c r="N84" i="7"/>
  <c r="O84" i="7"/>
  <c r="G85" i="7"/>
  <c r="H85" i="7"/>
  <c r="I85" i="7"/>
  <c r="J85" i="7"/>
  <c r="K85" i="7"/>
  <c r="L85" i="7"/>
  <c r="M85" i="7"/>
  <c r="N85" i="7"/>
  <c r="O85" i="7"/>
  <c r="G86" i="7"/>
  <c r="H86" i="7"/>
  <c r="I86" i="7"/>
  <c r="J86" i="7"/>
  <c r="K86" i="7"/>
  <c r="L86" i="7"/>
  <c r="M86" i="7"/>
  <c r="N86" i="7"/>
  <c r="O86" i="7"/>
  <c r="G87" i="7"/>
  <c r="H87" i="7"/>
  <c r="I87" i="7"/>
  <c r="J87" i="7"/>
  <c r="K87" i="7"/>
  <c r="L87" i="7"/>
  <c r="M87" i="7"/>
  <c r="N87" i="7"/>
  <c r="O87" i="7"/>
  <c r="G88" i="7"/>
  <c r="H88" i="7"/>
  <c r="I88" i="7"/>
  <c r="J88" i="7"/>
  <c r="K88" i="7"/>
  <c r="L88" i="7"/>
  <c r="M88" i="7"/>
  <c r="N88" i="7"/>
  <c r="O88" i="7"/>
  <c r="G89" i="7"/>
  <c r="H89" i="7"/>
  <c r="I89" i="7"/>
  <c r="J89" i="7"/>
  <c r="K89" i="7"/>
  <c r="L89" i="7"/>
  <c r="M89" i="7"/>
  <c r="N89" i="7"/>
  <c r="O89" i="7"/>
  <c r="G90" i="7"/>
  <c r="H90" i="7"/>
  <c r="I90" i="7"/>
  <c r="J90" i="7"/>
  <c r="K90" i="7"/>
  <c r="L90" i="7"/>
  <c r="M90" i="7"/>
  <c r="N90" i="7"/>
  <c r="O90" i="7"/>
  <c r="G91" i="7"/>
  <c r="H91" i="7"/>
  <c r="I91" i="7"/>
  <c r="J91" i="7"/>
  <c r="K91" i="7"/>
  <c r="L91" i="7"/>
  <c r="M91" i="7"/>
  <c r="N91" i="7"/>
  <c r="O91" i="7"/>
  <c r="G92" i="7"/>
  <c r="H92" i="7"/>
  <c r="I92" i="7"/>
  <c r="J92" i="7"/>
  <c r="K92" i="7"/>
  <c r="L92" i="7"/>
  <c r="M92" i="7"/>
  <c r="N92" i="7"/>
  <c r="O92" i="7"/>
  <c r="G93" i="7"/>
  <c r="H93" i="7"/>
  <c r="I93" i="7"/>
  <c r="J93" i="7"/>
  <c r="K93" i="7"/>
  <c r="L93" i="7"/>
  <c r="M93" i="7"/>
  <c r="N93" i="7"/>
  <c r="O93" i="7"/>
  <c r="G94" i="7"/>
  <c r="H94" i="7"/>
  <c r="I94" i="7"/>
  <c r="J94" i="7"/>
  <c r="K94" i="7"/>
  <c r="L94" i="7"/>
  <c r="M94" i="7"/>
  <c r="N94" i="7"/>
  <c r="O94" i="7"/>
  <c r="G95" i="7"/>
  <c r="H95" i="7"/>
  <c r="I95" i="7"/>
  <c r="J95" i="7"/>
  <c r="K95" i="7"/>
  <c r="L95" i="7"/>
  <c r="M95" i="7"/>
  <c r="N95" i="7"/>
  <c r="O95" i="7"/>
  <c r="G96" i="7"/>
  <c r="H96" i="7"/>
  <c r="I96" i="7"/>
  <c r="J96" i="7"/>
  <c r="K96" i="7"/>
  <c r="L96" i="7"/>
  <c r="M96" i="7"/>
  <c r="N96" i="7"/>
  <c r="O96" i="7"/>
  <c r="G97" i="7"/>
  <c r="H97" i="7"/>
  <c r="I97" i="7"/>
  <c r="J97" i="7"/>
  <c r="K97" i="7"/>
  <c r="L97" i="7"/>
  <c r="M97" i="7"/>
  <c r="N97" i="7"/>
  <c r="O97" i="7"/>
  <c r="G98" i="7"/>
  <c r="H98" i="7"/>
  <c r="I98" i="7"/>
  <c r="J98" i="7"/>
  <c r="K98" i="7"/>
  <c r="L98" i="7"/>
  <c r="M98" i="7"/>
  <c r="N98" i="7"/>
  <c r="O98" i="7"/>
  <c r="G99" i="7"/>
  <c r="H99" i="7"/>
  <c r="I99" i="7"/>
  <c r="J99" i="7"/>
  <c r="K99" i="7"/>
  <c r="L99" i="7"/>
  <c r="M99" i="7"/>
  <c r="N99" i="7"/>
  <c r="O99" i="7"/>
  <c r="G100" i="7"/>
  <c r="H100" i="7"/>
  <c r="I100" i="7"/>
  <c r="J100" i="7"/>
  <c r="K100" i="7"/>
  <c r="L100" i="7"/>
  <c r="M100" i="7"/>
  <c r="N100" i="7"/>
  <c r="O100" i="7"/>
  <c r="G101" i="7"/>
  <c r="H101" i="7"/>
  <c r="I101" i="7"/>
  <c r="J101" i="7"/>
  <c r="K101" i="7"/>
  <c r="L101" i="7"/>
  <c r="M101" i="7"/>
  <c r="N101" i="7"/>
  <c r="O101" i="7"/>
  <c r="G102" i="7"/>
  <c r="H102" i="7"/>
  <c r="I102" i="7"/>
  <c r="J102" i="7"/>
  <c r="K102" i="7"/>
  <c r="L102" i="7"/>
  <c r="M102" i="7"/>
  <c r="N102" i="7"/>
  <c r="O102" i="7"/>
  <c r="G103" i="7"/>
  <c r="H103" i="7"/>
  <c r="I103" i="7"/>
  <c r="J103" i="7"/>
  <c r="K103" i="7"/>
  <c r="L103" i="7"/>
  <c r="M103" i="7"/>
  <c r="N103" i="7"/>
  <c r="O103" i="7"/>
  <c r="G104" i="7"/>
  <c r="H104" i="7"/>
  <c r="I104" i="7"/>
  <c r="J104" i="7"/>
  <c r="K104" i="7"/>
  <c r="L104" i="7"/>
  <c r="M104" i="7"/>
  <c r="N104" i="7"/>
  <c r="O104" i="7"/>
  <c r="G105" i="7"/>
  <c r="H105" i="7"/>
  <c r="I105" i="7"/>
  <c r="J105" i="7"/>
  <c r="K105" i="7"/>
  <c r="L105" i="7"/>
  <c r="M105" i="7"/>
  <c r="N105" i="7"/>
  <c r="O105" i="7"/>
  <c r="G106" i="7"/>
  <c r="H106" i="7"/>
  <c r="I106" i="7"/>
  <c r="J106" i="7"/>
  <c r="K106" i="7"/>
  <c r="L106" i="7"/>
  <c r="M106" i="7"/>
  <c r="N106" i="7"/>
  <c r="O106" i="7"/>
  <c r="G107" i="7"/>
  <c r="H107" i="7"/>
  <c r="I107" i="7"/>
  <c r="J107" i="7"/>
  <c r="K107" i="7"/>
  <c r="L107" i="7"/>
  <c r="M107" i="7"/>
  <c r="N107" i="7"/>
  <c r="O107" i="7"/>
  <c r="G108" i="7"/>
  <c r="H108" i="7"/>
  <c r="I108" i="7"/>
  <c r="J108" i="7"/>
  <c r="K108" i="7"/>
  <c r="L108" i="7"/>
  <c r="M108" i="7"/>
  <c r="N108" i="7"/>
  <c r="O108" i="7"/>
  <c r="G109" i="7"/>
  <c r="H109" i="7"/>
  <c r="I109" i="7"/>
  <c r="J109" i="7"/>
  <c r="K109" i="7"/>
  <c r="L109" i="7"/>
  <c r="M109" i="7"/>
  <c r="N109" i="7"/>
  <c r="O109" i="7"/>
  <c r="G110" i="7"/>
  <c r="H110" i="7"/>
  <c r="I110" i="7"/>
  <c r="J110" i="7"/>
  <c r="K110" i="7"/>
  <c r="L110" i="7"/>
  <c r="M110" i="7"/>
  <c r="N110" i="7"/>
  <c r="O110" i="7"/>
  <c r="G111" i="7"/>
  <c r="H111" i="7"/>
  <c r="I111" i="7"/>
  <c r="J111" i="7"/>
  <c r="K111" i="7"/>
  <c r="L111" i="7"/>
  <c r="M111" i="7"/>
  <c r="N111" i="7"/>
  <c r="O111" i="7"/>
  <c r="G112" i="7"/>
  <c r="H112" i="7"/>
  <c r="I112" i="7"/>
  <c r="J112" i="7"/>
  <c r="K112" i="7"/>
  <c r="L112" i="7"/>
  <c r="M112" i="7"/>
  <c r="N112" i="7"/>
  <c r="O112" i="7"/>
  <c r="G113" i="7"/>
  <c r="H113" i="7"/>
  <c r="I113" i="7"/>
  <c r="J113" i="7"/>
  <c r="K113" i="7"/>
  <c r="L113" i="7"/>
  <c r="M113" i="7"/>
  <c r="N113" i="7"/>
  <c r="O113" i="7"/>
  <c r="G114" i="7"/>
  <c r="H114" i="7"/>
  <c r="I114" i="7"/>
  <c r="J114" i="7"/>
  <c r="K114" i="7"/>
  <c r="L114" i="7"/>
  <c r="M114" i="7"/>
  <c r="N114" i="7"/>
  <c r="O114" i="7"/>
  <c r="G115" i="7"/>
  <c r="H115" i="7"/>
  <c r="I115" i="7"/>
  <c r="J115" i="7"/>
  <c r="K115" i="7"/>
  <c r="L115" i="7"/>
  <c r="M115" i="7"/>
  <c r="N115" i="7"/>
  <c r="O115" i="7"/>
  <c r="G116" i="7"/>
  <c r="H116" i="7"/>
  <c r="I116" i="7"/>
  <c r="J116" i="7"/>
  <c r="K116" i="7"/>
  <c r="L116" i="7"/>
  <c r="M116" i="7"/>
  <c r="N116" i="7"/>
  <c r="O116" i="7"/>
  <c r="G117" i="7"/>
  <c r="H117" i="7"/>
  <c r="I117" i="7"/>
  <c r="J117" i="7"/>
  <c r="K117" i="7"/>
  <c r="L117" i="7"/>
  <c r="M117" i="7"/>
  <c r="N117" i="7"/>
  <c r="O117" i="7"/>
  <c r="G118" i="7"/>
  <c r="H118" i="7"/>
  <c r="I118" i="7"/>
  <c r="J118" i="7"/>
  <c r="K118" i="7"/>
  <c r="L118" i="7"/>
  <c r="M118" i="7"/>
  <c r="N118" i="7"/>
  <c r="O118" i="7"/>
  <c r="G119" i="7"/>
  <c r="H119" i="7"/>
  <c r="I119" i="7"/>
  <c r="J119" i="7"/>
  <c r="K119" i="7"/>
  <c r="L119" i="7"/>
  <c r="M119" i="7"/>
  <c r="N119" i="7"/>
  <c r="O119" i="7"/>
  <c r="G120" i="7"/>
  <c r="H120" i="7"/>
  <c r="I120" i="7"/>
  <c r="J120" i="7"/>
  <c r="K120" i="7"/>
  <c r="L120" i="7"/>
  <c r="M120" i="7"/>
  <c r="N120" i="7"/>
  <c r="O120" i="7"/>
  <c r="G121" i="7"/>
  <c r="H121" i="7"/>
  <c r="I121" i="7"/>
  <c r="J121" i="7"/>
  <c r="K121" i="7"/>
  <c r="L121" i="7"/>
  <c r="M121" i="7"/>
  <c r="N121" i="7"/>
  <c r="O121" i="7"/>
  <c r="G122" i="7"/>
  <c r="H122" i="7"/>
  <c r="I122" i="7"/>
  <c r="J122" i="7"/>
  <c r="K122" i="7"/>
  <c r="L122" i="7"/>
  <c r="M122" i="7"/>
  <c r="N122" i="7"/>
  <c r="O122" i="7"/>
  <c r="G123" i="7"/>
  <c r="H123" i="7"/>
  <c r="I123" i="7"/>
  <c r="J123" i="7"/>
  <c r="K123" i="7"/>
  <c r="L123" i="7"/>
  <c r="M123" i="7"/>
  <c r="N123" i="7"/>
  <c r="O123" i="7"/>
  <c r="G124" i="7"/>
  <c r="H124" i="7"/>
  <c r="I124" i="7"/>
  <c r="J124" i="7"/>
  <c r="K124" i="7"/>
  <c r="L124" i="7"/>
  <c r="M124" i="7"/>
  <c r="N124" i="7"/>
  <c r="O124" i="7"/>
  <c r="G125" i="7"/>
  <c r="H125" i="7"/>
  <c r="I125" i="7"/>
  <c r="J125" i="7"/>
  <c r="K125" i="7"/>
  <c r="L125" i="7"/>
  <c r="M125" i="7"/>
  <c r="N125" i="7"/>
  <c r="O125" i="7"/>
  <c r="G126" i="7"/>
  <c r="H126" i="7"/>
  <c r="I126" i="7"/>
  <c r="J126" i="7"/>
  <c r="K126" i="7"/>
  <c r="L126" i="7"/>
  <c r="M126" i="7"/>
  <c r="N126" i="7"/>
  <c r="O126" i="7"/>
  <c r="G127" i="7"/>
  <c r="H127" i="7"/>
  <c r="I127" i="7"/>
  <c r="J127" i="7"/>
  <c r="K127" i="7"/>
  <c r="L127" i="7"/>
  <c r="M127" i="7"/>
  <c r="N127" i="7"/>
  <c r="O127" i="7"/>
  <c r="G128" i="7"/>
  <c r="H128" i="7"/>
  <c r="I128" i="7"/>
  <c r="J128" i="7"/>
  <c r="K128" i="7"/>
  <c r="L128" i="7"/>
  <c r="M128" i="7"/>
  <c r="N128" i="7"/>
  <c r="O128" i="7"/>
  <c r="G129" i="7"/>
  <c r="H129" i="7"/>
  <c r="I129" i="7"/>
  <c r="J129" i="7"/>
  <c r="K129" i="7"/>
  <c r="L129" i="7"/>
  <c r="M129" i="7"/>
  <c r="N129" i="7"/>
  <c r="O129" i="7"/>
  <c r="G130" i="7"/>
  <c r="H130" i="7"/>
  <c r="I130" i="7"/>
  <c r="J130" i="7"/>
  <c r="K130" i="7"/>
  <c r="L130" i="7"/>
  <c r="M130" i="7"/>
  <c r="N130" i="7"/>
  <c r="O130" i="7"/>
  <c r="G131" i="7"/>
  <c r="H131" i="7"/>
  <c r="I131" i="7"/>
  <c r="J131" i="7"/>
  <c r="K131" i="7"/>
  <c r="L131" i="7"/>
  <c r="M131" i="7"/>
  <c r="N131" i="7"/>
  <c r="O131" i="7"/>
  <c r="G132" i="7"/>
  <c r="H132" i="7"/>
  <c r="I132" i="7"/>
  <c r="J132" i="7"/>
  <c r="K132" i="7"/>
  <c r="L132" i="7"/>
  <c r="M132" i="7"/>
  <c r="N132" i="7"/>
  <c r="O132" i="7"/>
  <c r="G133" i="7"/>
  <c r="H133" i="7"/>
  <c r="I133" i="7"/>
  <c r="J133" i="7"/>
  <c r="K133" i="7"/>
  <c r="L133" i="7"/>
  <c r="M133" i="7"/>
  <c r="N133" i="7"/>
  <c r="O133" i="7"/>
  <c r="G134" i="7"/>
  <c r="H134" i="7"/>
  <c r="I134" i="7"/>
  <c r="J134" i="7"/>
  <c r="K134" i="7"/>
  <c r="L134" i="7"/>
  <c r="M134" i="7"/>
  <c r="N134" i="7"/>
  <c r="O134" i="7"/>
  <c r="G135" i="7"/>
  <c r="H135" i="7"/>
  <c r="I135" i="7"/>
  <c r="J135" i="7"/>
  <c r="K135" i="7"/>
  <c r="L135" i="7"/>
  <c r="M135" i="7"/>
  <c r="N135" i="7"/>
  <c r="O135" i="7"/>
  <c r="G136" i="7"/>
  <c r="H136" i="7"/>
  <c r="I136" i="7"/>
  <c r="J136" i="7"/>
  <c r="K136" i="7"/>
  <c r="L136" i="7"/>
  <c r="M136" i="7"/>
  <c r="N136" i="7"/>
  <c r="O136" i="7"/>
  <c r="G137" i="7"/>
  <c r="H137" i="7"/>
  <c r="I137" i="7"/>
  <c r="J137" i="7"/>
  <c r="K137" i="7"/>
  <c r="L137" i="7"/>
  <c r="M137" i="7"/>
  <c r="N137" i="7"/>
  <c r="O137" i="7"/>
  <c r="G138" i="7"/>
  <c r="H138" i="7"/>
  <c r="I138" i="7"/>
  <c r="J138" i="7"/>
  <c r="K138" i="7"/>
  <c r="L138" i="7"/>
  <c r="M138" i="7"/>
  <c r="N138" i="7"/>
  <c r="O138" i="7"/>
  <c r="G139" i="7"/>
  <c r="H139" i="7"/>
  <c r="I139" i="7"/>
  <c r="J139" i="7"/>
  <c r="K139" i="7"/>
  <c r="L139" i="7"/>
  <c r="M139" i="7"/>
  <c r="N139" i="7"/>
  <c r="O139" i="7"/>
  <c r="G140" i="7"/>
  <c r="H140" i="7"/>
  <c r="I140" i="7"/>
  <c r="J140" i="7"/>
  <c r="K140" i="7"/>
  <c r="L140" i="7"/>
  <c r="M140" i="7"/>
  <c r="N140" i="7"/>
  <c r="O140" i="7"/>
  <c r="G141" i="7"/>
  <c r="H141" i="7"/>
  <c r="I141" i="7"/>
  <c r="J141" i="7"/>
  <c r="K141" i="7"/>
  <c r="L141" i="7"/>
  <c r="M141" i="7"/>
  <c r="N141" i="7"/>
  <c r="O141" i="7"/>
  <c r="G142" i="7"/>
  <c r="H142" i="7"/>
  <c r="I142" i="7"/>
  <c r="J142" i="7"/>
  <c r="K142" i="7"/>
  <c r="L142" i="7"/>
  <c r="M142" i="7"/>
  <c r="N142" i="7"/>
  <c r="O142" i="7"/>
  <c r="G143" i="7"/>
  <c r="H143" i="7"/>
  <c r="I143" i="7"/>
  <c r="J143" i="7"/>
  <c r="K143" i="7"/>
  <c r="L143" i="7"/>
  <c r="M143" i="7"/>
  <c r="N143" i="7"/>
  <c r="O143" i="7"/>
  <c r="G144" i="7"/>
  <c r="H144" i="7"/>
  <c r="I144" i="7"/>
  <c r="J144" i="7"/>
  <c r="K144" i="7"/>
  <c r="L144" i="7"/>
  <c r="M144" i="7"/>
  <c r="N144" i="7"/>
  <c r="O144" i="7"/>
  <c r="G145" i="7"/>
  <c r="H145" i="7"/>
  <c r="I145" i="7"/>
  <c r="J145" i="7"/>
  <c r="K145" i="7"/>
  <c r="L145" i="7"/>
  <c r="M145" i="7"/>
  <c r="N145" i="7"/>
  <c r="O145" i="7"/>
  <c r="G146" i="7"/>
  <c r="H146" i="7"/>
  <c r="I146" i="7"/>
  <c r="J146" i="7"/>
  <c r="K146" i="7"/>
  <c r="L146" i="7"/>
  <c r="M146" i="7"/>
  <c r="N146" i="7"/>
  <c r="O146" i="7"/>
  <c r="G147" i="7"/>
  <c r="H147" i="7"/>
  <c r="I147" i="7"/>
  <c r="J147" i="7"/>
  <c r="K147" i="7"/>
  <c r="L147" i="7"/>
  <c r="M147" i="7"/>
  <c r="N147" i="7"/>
  <c r="O147" i="7"/>
  <c r="G148" i="7"/>
  <c r="H148" i="7"/>
  <c r="I148" i="7"/>
  <c r="J148" i="7"/>
  <c r="S148" i="7" s="1"/>
  <c r="K148" i="7"/>
  <c r="L148" i="7"/>
  <c r="M148" i="7"/>
  <c r="N148" i="7"/>
  <c r="O148" i="7"/>
  <c r="G149" i="7"/>
  <c r="H149" i="7"/>
  <c r="I149" i="7"/>
  <c r="J149" i="7"/>
  <c r="K149" i="7"/>
  <c r="L149" i="7"/>
  <c r="M149" i="7"/>
  <c r="N149" i="7"/>
  <c r="O149" i="7"/>
  <c r="G150" i="7"/>
  <c r="H150" i="7"/>
  <c r="I150" i="7"/>
  <c r="J150" i="7"/>
  <c r="K150" i="7"/>
  <c r="L150" i="7"/>
  <c r="M150" i="7"/>
  <c r="N150" i="7"/>
  <c r="O150" i="7"/>
  <c r="G151" i="7"/>
  <c r="H151" i="7"/>
  <c r="I151" i="7"/>
  <c r="J151" i="7"/>
  <c r="K151" i="7"/>
  <c r="L151" i="7"/>
  <c r="M151" i="7"/>
  <c r="N151" i="7"/>
  <c r="O151" i="7"/>
  <c r="G152" i="7"/>
  <c r="H152" i="7"/>
  <c r="I152" i="7"/>
  <c r="J152" i="7"/>
  <c r="K152" i="7"/>
  <c r="L152" i="7"/>
  <c r="M152" i="7"/>
  <c r="N152" i="7"/>
  <c r="O152" i="7"/>
  <c r="G153" i="7"/>
  <c r="H153" i="7"/>
  <c r="I153" i="7"/>
  <c r="J153" i="7"/>
  <c r="K153" i="7"/>
  <c r="L153" i="7"/>
  <c r="M153" i="7"/>
  <c r="N153" i="7"/>
  <c r="O153" i="7"/>
  <c r="G154" i="7"/>
  <c r="H154" i="7"/>
  <c r="I154" i="7"/>
  <c r="J154" i="7"/>
  <c r="K154" i="7"/>
  <c r="L154" i="7"/>
  <c r="M154" i="7"/>
  <c r="N154" i="7"/>
  <c r="O154" i="7"/>
  <c r="G155" i="7"/>
  <c r="H155" i="7"/>
  <c r="I155" i="7"/>
  <c r="J155" i="7"/>
  <c r="K155" i="7"/>
  <c r="L155" i="7"/>
  <c r="M155" i="7"/>
  <c r="N155" i="7"/>
  <c r="O155" i="7"/>
  <c r="G156" i="7"/>
  <c r="H156" i="7"/>
  <c r="I156" i="7"/>
  <c r="J156" i="7"/>
  <c r="K156" i="7"/>
  <c r="L156" i="7"/>
  <c r="M156" i="7"/>
  <c r="N156" i="7"/>
  <c r="O156" i="7"/>
  <c r="G157" i="7"/>
  <c r="H157" i="7"/>
  <c r="I157" i="7"/>
  <c r="J157" i="7"/>
  <c r="K157" i="7"/>
  <c r="L157" i="7"/>
  <c r="M157" i="7"/>
  <c r="N157" i="7"/>
  <c r="O157" i="7"/>
  <c r="G158" i="7"/>
  <c r="H158" i="7"/>
  <c r="I158" i="7"/>
  <c r="J158" i="7"/>
  <c r="K158" i="7"/>
  <c r="L158" i="7"/>
  <c r="M158" i="7"/>
  <c r="N158" i="7"/>
  <c r="O158" i="7"/>
  <c r="G159" i="7"/>
  <c r="H159" i="7"/>
  <c r="I159" i="7"/>
  <c r="J159" i="7"/>
  <c r="S159" i="7" s="1"/>
  <c r="K159" i="7"/>
  <c r="L159" i="7"/>
  <c r="M159" i="7"/>
  <c r="N159" i="7"/>
  <c r="O159" i="7"/>
  <c r="G160" i="7"/>
  <c r="H160" i="7"/>
  <c r="I160" i="7"/>
  <c r="J160" i="7"/>
  <c r="K160" i="7"/>
  <c r="T160" i="7" s="1"/>
  <c r="L160" i="7"/>
  <c r="M160" i="7"/>
  <c r="N160" i="7"/>
  <c r="O160" i="7"/>
  <c r="G161" i="7"/>
  <c r="H161" i="7"/>
  <c r="I161" i="7"/>
  <c r="J161" i="7"/>
  <c r="K161" i="7"/>
  <c r="L161" i="7"/>
  <c r="M161" i="7"/>
  <c r="N161" i="7"/>
  <c r="O161" i="7"/>
  <c r="G162" i="7"/>
  <c r="H162" i="7"/>
  <c r="I162" i="7"/>
  <c r="J162" i="7"/>
  <c r="K162" i="7"/>
  <c r="L162" i="7"/>
  <c r="M162" i="7"/>
  <c r="N162" i="7"/>
  <c r="O162" i="7"/>
  <c r="G163" i="7"/>
  <c r="H163" i="7"/>
  <c r="I163" i="7"/>
  <c r="J163" i="7"/>
  <c r="K163" i="7"/>
  <c r="L163" i="7"/>
  <c r="M163" i="7"/>
  <c r="N163" i="7"/>
  <c r="O163" i="7"/>
  <c r="G164" i="7"/>
  <c r="H164" i="7"/>
  <c r="I164" i="7"/>
  <c r="J164" i="7"/>
  <c r="K164" i="7"/>
  <c r="L164" i="7"/>
  <c r="M164" i="7"/>
  <c r="N164" i="7"/>
  <c r="O164" i="7"/>
  <c r="G165" i="7"/>
  <c r="H165" i="7"/>
  <c r="I165" i="7"/>
  <c r="J165" i="7"/>
  <c r="K165" i="7"/>
  <c r="L165" i="7"/>
  <c r="M165" i="7"/>
  <c r="N165" i="7"/>
  <c r="O165" i="7"/>
  <c r="G166" i="7"/>
  <c r="H166" i="7"/>
  <c r="I166" i="7"/>
  <c r="J166" i="7"/>
  <c r="K166" i="7"/>
  <c r="L166" i="7"/>
  <c r="M166" i="7"/>
  <c r="N166" i="7"/>
  <c r="O166" i="7"/>
  <c r="G167" i="7"/>
  <c r="H167" i="7"/>
  <c r="I167" i="7"/>
  <c r="J167" i="7"/>
  <c r="S167" i="7" s="1"/>
  <c r="K167" i="7"/>
  <c r="L167" i="7"/>
  <c r="M167" i="7"/>
  <c r="N167" i="7"/>
  <c r="O167" i="7"/>
  <c r="G168" i="7"/>
  <c r="H168" i="7"/>
  <c r="I168" i="7"/>
  <c r="J168" i="7"/>
  <c r="K168" i="7"/>
  <c r="T168" i="7" s="1"/>
  <c r="L168" i="7"/>
  <c r="M168" i="7"/>
  <c r="N168" i="7"/>
  <c r="O168" i="7"/>
  <c r="G169" i="7"/>
  <c r="H169" i="7"/>
  <c r="I169" i="7"/>
  <c r="J169" i="7"/>
  <c r="K169" i="7"/>
  <c r="L169" i="7"/>
  <c r="M169" i="7"/>
  <c r="N169" i="7"/>
  <c r="O169" i="7"/>
  <c r="G170" i="7"/>
  <c r="H170" i="7"/>
  <c r="I170" i="7"/>
  <c r="J170" i="7"/>
  <c r="K170" i="7"/>
  <c r="L170" i="7"/>
  <c r="M170" i="7"/>
  <c r="N170" i="7"/>
  <c r="O170" i="7"/>
  <c r="G171" i="7"/>
  <c r="H171" i="7"/>
  <c r="I171" i="7"/>
  <c r="J171" i="7"/>
  <c r="S171" i="7" s="1"/>
  <c r="K171" i="7"/>
  <c r="L171" i="7"/>
  <c r="M171" i="7"/>
  <c r="N171" i="7"/>
  <c r="O171" i="7"/>
  <c r="G172" i="7"/>
  <c r="H172" i="7"/>
  <c r="I172" i="7"/>
  <c r="J172" i="7"/>
  <c r="K172" i="7"/>
  <c r="T172" i="7" s="1"/>
  <c r="L172" i="7"/>
  <c r="M172" i="7"/>
  <c r="N172" i="7"/>
  <c r="O172" i="7"/>
  <c r="G173" i="7"/>
  <c r="H173" i="7"/>
  <c r="I173" i="7"/>
  <c r="J173" i="7"/>
  <c r="K173" i="7"/>
  <c r="L173" i="7"/>
  <c r="M173" i="7"/>
  <c r="N173" i="7"/>
  <c r="O173" i="7"/>
  <c r="G174" i="7"/>
  <c r="H174" i="7"/>
  <c r="I174" i="7"/>
  <c r="J174" i="7"/>
  <c r="K174" i="7"/>
  <c r="L174" i="7"/>
  <c r="M174" i="7"/>
  <c r="N174" i="7"/>
  <c r="O174" i="7"/>
  <c r="G175" i="7"/>
  <c r="H175" i="7"/>
  <c r="I175" i="7"/>
  <c r="J175" i="7"/>
  <c r="K175" i="7"/>
  <c r="L175" i="7"/>
  <c r="M175" i="7"/>
  <c r="N175" i="7"/>
  <c r="O175" i="7"/>
  <c r="G176" i="7"/>
  <c r="H176" i="7"/>
  <c r="I176" i="7"/>
  <c r="J176" i="7"/>
  <c r="K176" i="7"/>
  <c r="L176" i="7"/>
  <c r="M176" i="7"/>
  <c r="N176" i="7"/>
  <c r="O176" i="7"/>
  <c r="G177" i="7"/>
  <c r="H177" i="7"/>
  <c r="I177" i="7"/>
  <c r="J177" i="7"/>
  <c r="K177" i="7"/>
  <c r="T177" i="7" s="1"/>
  <c r="L177" i="7"/>
  <c r="M177" i="7"/>
  <c r="N177" i="7"/>
  <c r="O177" i="7"/>
  <c r="G178" i="7"/>
  <c r="H178" i="7"/>
  <c r="I178" i="7"/>
  <c r="J178" i="7"/>
  <c r="K178" i="7"/>
  <c r="T178" i="7" s="1"/>
  <c r="L178" i="7"/>
  <c r="M178" i="7"/>
  <c r="N178" i="7"/>
  <c r="O178" i="7"/>
  <c r="G179" i="7"/>
  <c r="H179" i="7"/>
  <c r="I179" i="7"/>
  <c r="J179" i="7"/>
  <c r="S179" i="7" s="1"/>
  <c r="K179" i="7"/>
  <c r="L179" i="7"/>
  <c r="M179" i="7"/>
  <c r="N179" i="7"/>
  <c r="O179" i="7"/>
  <c r="G180" i="7"/>
  <c r="H180" i="7"/>
  <c r="I180" i="7"/>
  <c r="J180" i="7"/>
  <c r="K180" i="7"/>
  <c r="T180" i="7" s="1"/>
  <c r="L180" i="7"/>
  <c r="M180" i="7"/>
  <c r="N180" i="7"/>
  <c r="O180" i="7"/>
  <c r="G181" i="7"/>
  <c r="H181" i="7"/>
  <c r="I181" i="7"/>
  <c r="J181" i="7"/>
  <c r="K181" i="7"/>
  <c r="T181" i="7" s="1"/>
  <c r="L181" i="7"/>
  <c r="M181" i="7"/>
  <c r="N181" i="7"/>
  <c r="O181" i="7"/>
  <c r="G182" i="7"/>
  <c r="H182" i="7"/>
  <c r="I182" i="7"/>
  <c r="J182" i="7"/>
  <c r="K182" i="7"/>
  <c r="L182" i="7"/>
  <c r="M182" i="7"/>
  <c r="N182" i="7"/>
  <c r="O182" i="7"/>
  <c r="G183" i="7"/>
  <c r="H183" i="7"/>
  <c r="I183" i="7"/>
  <c r="J183" i="7"/>
  <c r="K183" i="7"/>
  <c r="L183" i="7"/>
  <c r="M183" i="7"/>
  <c r="N183" i="7"/>
  <c r="O183" i="7"/>
  <c r="G184" i="7"/>
  <c r="H184" i="7"/>
  <c r="I184" i="7"/>
  <c r="J184" i="7"/>
  <c r="S184" i="7" s="1"/>
  <c r="K184" i="7"/>
  <c r="T184" i="7" s="1"/>
  <c r="L184" i="7"/>
  <c r="M184" i="7"/>
  <c r="N184" i="7"/>
  <c r="O184" i="7"/>
  <c r="G185" i="7"/>
  <c r="H185" i="7"/>
  <c r="I185" i="7"/>
  <c r="J185" i="7"/>
  <c r="K185" i="7"/>
  <c r="T185" i="7" s="1"/>
  <c r="L185" i="7"/>
  <c r="M185" i="7"/>
  <c r="N185" i="7"/>
  <c r="O185" i="7"/>
  <c r="G186" i="7"/>
  <c r="H186" i="7"/>
  <c r="I186" i="7"/>
  <c r="J186" i="7"/>
  <c r="K186" i="7"/>
  <c r="L186" i="7"/>
  <c r="M186" i="7"/>
  <c r="N186" i="7"/>
  <c r="O186" i="7"/>
  <c r="G187" i="7"/>
  <c r="H187" i="7"/>
  <c r="I187" i="7"/>
  <c r="J187" i="7"/>
  <c r="S187" i="7" s="1"/>
  <c r="K187" i="7"/>
  <c r="L187" i="7"/>
  <c r="M187" i="7"/>
  <c r="N187" i="7"/>
  <c r="O187" i="7"/>
  <c r="G188" i="7"/>
  <c r="H188" i="7"/>
  <c r="I188" i="7"/>
  <c r="J188" i="7"/>
  <c r="S188" i="7" s="1"/>
  <c r="K188" i="7"/>
  <c r="T188" i="7" s="1"/>
  <c r="L188" i="7"/>
  <c r="M188" i="7"/>
  <c r="N188" i="7"/>
  <c r="O188" i="7"/>
  <c r="G189" i="7"/>
  <c r="H189" i="7"/>
  <c r="I189" i="7"/>
  <c r="J189" i="7"/>
  <c r="K189" i="7"/>
  <c r="T189" i="7" s="1"/>
  <c r="L189" i="7"/>
  <c r="M189" i="7"/>
  <c r="N189" i="7"/>
  <c r="O189" i="7"/>
  <c r="G190" i="7"/>
  <c r="H190" i="7"/>
  <c r="I190" i="7"/>
  <c r="J190" i="7"/>
  <c r="K190" i="7"/>
  <c r="L190" i="7"/>
  <c r="M190" i="7"/>
  <c r="N190" i="7"/>
  <c r="O190" i="7"/>
  <c r="G191" i="7"/>
  <c r="H191" i="7"/>
  <c r="I191" i="7"/>
  <c r="J191" i="7"/>
  <c r="S191" i="7" s="1"/>
  <c r="K191" i="7"/>
  <c r="L191" i="7"/>
  <c r="M191" i="7"/>
  <c r="N191" i="7"/>
  <c r="O191" i="7"/>
  <c r="G192" i="7"/>
  <c r="H192" i="7"/>
  <c r="I192" i="7"/>
  <c r="J192" i="7"/>
  <c r="S192" i="7" s="1"/>
  <c r="K192" i="7"/>
  <c r="T192" i="7" s="1"/>
  <c r="L192" i="7"/>
  <c r="M192" i="7"/>
  <c r="N192" i="7"/>
  <c r="O192" i="7"/>
  <c r="G193" i="7"/>
  <c r="H193" i="7"/>
  <c r="I193" i="7"/>
  <c r="J193" i="7"/>
  <c r="K193" i="7"/>
  <c r="T193" i="7" s="1"/>
  <c r="L193" i="7"/>
  <c r="M193" i="7"/>
  <c r="N193" i="7"/>
  <c r="O193" i="7"/>
  <c r="G194" i="7"/>
  <c r="H194" i="7"/>
  <c r="I194" i="7"/>
  <c r="J194" i="7"/>
  <c r="K194" i="7"/>
  <c r="L194" i="7"/>
  <c r="M194" i="7"/>
  <c r="N194" i="7"/>
  <c r="O194" i="7"/>
  <c r="G195" i="7"/>
  <c r="H195" i="7"/>
  <c r="I195" i="7"/>
  <c r="J195" i="7"/>
  <c r="S195" i="7" s="1"/>
  <c r="K195" i="7"/>
  <c r="L195" i="7"/>
  <c r="M195" i="7"/>
  <c r="N195" i="7"/>
  <c r="O195" i="7"/>
  <c r="G196" i="7"/>
  <c r="H196" i="7"/>
  <c r="I196" i="7"/>
  <c r="J196" i="7"/>
  <c r="S196" i="7" s="1"/>
  <c r="K196" i="7"/>
  <c r="T196" i="7" s="1"/>
  <c r="L196" i="7"/>
  <c r="M196" i="7"/>
  <c r="N196" i="7"/>
  <c r="O196" i="7"/>
  <c r="G197" i="7"/>
  <c r="H197" i="7"/>
  <c r="I197" i="7"/>
  <c r="J197" i="7"/>
  <c r="K197" i="7"/>
  <c r="T197" i="7" s="1"/>
  <c r="L197" i="7"/>
  <c r="M197" i="7"/>
  <c r="N197" i="7"/>
  <c r="O197" i="7"/>
  <c r="G198" i="7"/>
  <c r="H198" i="7"/>
  <c r="I198" i="7"/>
  <c r="J198" i="7"/>
  <c r="K198" i="7"/>
  <c r="L198" i="7"/>
  <c r="M198" i="7"/>
  <c r="N198" i="7"/>
  <c r="O198" i="7"/>
  <c r="G199" i="7"/>
  <c r="H199" i="7"/>
  <c r="I199" i="7"/>
  <c r="J199" i="7"/>
  <c r="S199" i="7" s="1"/>
  <c r="K199" i="7"/>
  <c r="L199" i="7"/>
  <c r="M199" i="7"/>
  <c r="N199" i="7"/>
  <c r="O199" i="7"/>
  <c r="G200" i="7"/>
  <c r="H200" i="7"/>
  <c r="I200" i="7"/>
  <c r="J200" i="7"/>
  <c r="S200" i="7" s="1"/>
  <c r="K200" i="7"/>
  <c r="T200" i="7" s="1"/>
  <c r="L200" i="7"/>
  <c r="M200" i="7"/>
  <c r="N200" i="7"/>
  <c r="O200" i="7"/>
  <c r="G201" i="7"/>
  <c r="H201" i="7"/>
  <c r="I201" i="7"/>
  <c r="J201" i="7"/>
  <c r="K201" i="7"/>
  <c r="T201" i="7" s="1"/>
  <c r="L201" i="7"/>
  <c r="M201" i="7"/>
  <c r="N201" i="7"/>
  <c r="O201" i="7"/>
  <c r="G202" i="7"/>
  <c r="H202" i="7"/>
  <c r="I202" i="7"/>
  <c r="J202" i="7"/>
  <c r="K202" i="7"/>
  <c r="L202" i="7"/>
  <c r="M202" i="7"/>
  <c r="N202" i="7"/>
  <c r="O202" i="7"/>
  <c r="N3" i="7"/>
  <c r="O3" i="7"/>
  <c r="M3" i="7"/>
  <c r="K3" i="7"/>
  <c r="L3" i="7"/>
  <c r="U3" i="7" s="1"/>
  <c r="J3" i="7"/>
  <c r="H3" i="7"/>
  <c r="I3" i="7"/>
  <c r="G3" i="7"/>
  <c r="Q4" i="7"/>
  <c r="F3" i="7" a="1"/>
  <c r="E3" i="7" a="1"/>
  <c r="E3" i="7" s="1"/>
  <c r="U20" i="7" s="1"/>
  <c r="D3" i="7" a="1"/>
  <c r="U8" i="7"/>
  <c r="S9" i="7"/>
  <c r="T9" i="7"/>
  <c r="S13" i="7"/>
  <c r="T13" i="7"/>
  <c r="S17" i="7"/>
  <c r="T17" i="7"/>
  <c r="S21" i="7"/>
  <c r="T21" i="7"/>
  <c r="S25" i="7"/>
  <c r="T25" i="7"/>
  <c r="S29" i="7"/>
  <c r="T29" i="7"/>
  <c r="U32" i="7"/>
  <c r="S33" i="7"/>
  <c r="T34" i="7"/>
  <c r="T37" i="7"/>
  <c r="U40" i="7"/>
  <c r="T41" i="7"/>
  <c r="T42" i="7"/>
  <c r="U44" i="7"/>
  <c r="S45" i="7"/>
  <c r="T45" i="7"/>
  <c r="T46" i="7"/>
  <c r="U48" i="7"/>
  <c r="S49" i="7"/>
  <c r="T49" i="7"/>
  <c r="T50" i="7"/>
  <c r="U52" i="7"/>
  <c r="T53" i="7"/>
  <c r="T54" i="7"/>
  <c r="U56" i="7"/>
  <c r="T57" i="7"/>
  <c r="U57" i="7"/>
  <c r="U58" i="7"/>
  <c r="S59" i="7"/>
  <c r="U60" i="7"/>
  <c r="S61" i="7"/>
  <c r="T61" i="7"/>
  <c r="T62" i="7"/>
  <c r="U64" i="7"/>
  <c r="S65" i="7"/>
  <c r="T65" i="7"/>
  <c r="S66" i="7"/>
  <c r="U66" i="7"/>
  <c r="T68" i="7"/>
  <c r="S70" i="7"/>
  <c r="U70" i="7"/>
  <c r="T72" i="7"/>
  <c r="S73" i="7"/>
  <c r="S74" i="7"/>
  <c r="U74" i="7"/>
  <c r="U76" i="7"/>
  <c r="S77" i="7"/>
  <c r="T77" i="7"/>
  <c r="T78" i="7"/>
  <c r="T80" i="7"/>
  <c r="S81" i="7"/>
  <c r="S82" i="7"/>
  <c r="U82" i="7"/>
  <c r="S84" i="7"/>
  <c r="T84" i="7"/>
  <c r="U85" i="7"/>
  <c r="T86" i="7"/>
  <c r="U86" i="7"/>
  <c r="U87" i="7"/>
  <c r="S88" i="7"/>
  <c r="T88" i="7"/>
  <c r="U89" i="7"/>
  <c r="T89" i="7"/>
  <c r="S90" i="7"/>
  <c r="T90" i="7"/>
  <c r="T91" i="7"/>
  <c r="S92" i="7"/>
  <c r="U93" i="7"/>
  <c r="T93" i="7"/>
  <c r="S94" i="7"/>
  <c r="T94" i="7"/>
  <c r="T95" i="7"/>
  <c r="S96" i="7"/>
  <c r="U97" i="7"/>
  <c r="T97" i="7"/>
  <c r="S98" i="7"/>
  <c r="T98" i="7"/>
  <c r="T99" i="7"/>
  <c r="S100" i="7"/>
  <c r="U101" i="7"/>
  <c r="T101" i="7"/>
  <c r="S102" i="7"/>
  <c r="T102" i="7"/>
  <c r="T103" i="7"/>
  <c r="S104" i="7"/>
  <c r="U105" i="7"/>
  <c r="T105" i="7"/>
  <c r="S106" i="7"/>
  <c r="T106" i="7"/>
  <c r="T107" i="7"/>
  <c r="S108" i="7"/>
  <c r="U109" i="7"/>
  <c r="T109" i="7"/>
  <c r="S110" i="7"/>
  <c r="T110" i="7"/>
  <c r="T111" i="7"/>
  <c r="S112" i="7"/>
  <c r="U113" i="7"/>
  <c r="T113" i="7"/>
  <c r="S114" i="7"/>
  <c r="T114" i="7"/>
  <c r="T115" i="7"/>
  <c r="S116" i="7"/>
  <c r="U117" i="7"/>
  <c r="T117" i="7"/>
  <c r="T118" i="7"/>
  <c r="U118" i="7"/>
  <c r="T119" i="7"/>
  <c r="S120" i="7"/>
  <c r="S121" i="7"/>
  <c r="T121" i="7"/>
  <c r="U121" i="7"/>
  <c r="S122" i="7"/>
  <c r="T123" i="7"/>
  <c r="S124" i="7"/>
  <c r="U124" i="7"/>
  <c r="T124" i="7"/>
  <c r="T125" i="7"/>
  <c r="U125" i="7"/>
  <c r="S126" i="7"/>
  <c r="S127" i="7"/>
  <c r="U127" i="7"/>
  <c r="S128" i="7"/>
  <c r="T129" i="7"/>
  <c r="U129" i="7"/>
  <c r="U130" i="7"/>
  <c r="T130" i="7"/>
  <c r="T131" i="7"/>
  <c r="S132" i="7"/>
  <c r="S133" i="7"/>
  <c r="U133" i="7"/>
  <c r="T133" i="7"/>
  <c r="S134" i="7"/>
  <c r="U134" i="7"/>
  <c r="S135" i="7"/>
  <c r="U135" i="7"/>
  <c r="U136" i="7"/>
  <c r="S137" i="7"/>
  <c r="T137" i="7"/>
  <c r="U137" i="7"/>
  <c r="S138" i="7"/>
  <c r="U138" i="7"/>
  <c r="S139" i="7"/>
  <c r="U139" i="7"/>
  <c r="U140" i="7"/>
  <c r="S141" i="7"/>
  <c r="T141" i="7"/>
  <c r="U141" i="7"/>
  <c r="T142" i="7"/>
  <c r="U142" i="7"/>
  <c r="S142" i="7"/>
  <c r="U143" i="7"/>
  <c r="S144" i="7"/>
  <c r="T144" i="7"/>
  <c r="S145" i="7"/>
  <c r="U145" i="7"/>
  <c r="S146" i="7"/>
  <c r="U146" i="7"/>
  <c r="S147" i="7"/>
  <c r="T147" i="7"/>
  <c r="T148" i="7"/>
  <c r="U148" i="7"/>
  <c r="S149" i="7"/>
  <c r="T149" i="7"/>
  <c r="U149" i="7"/>
  <c r="T150" i="7"/>
  <c r="S151" i="7"/>
  <c r="U151" i="7"/>
  <c r="T151" i="7"/>
  <c r="T152" i="7"/>
  <c r="S152" i="7"/>
  <c r="T153" i="7"/>
  <c r="U153" i="7"/>
  <c r="S154" i="7"/>
  <c r="S155" i="7"/>
  <c r="T155" i="7"/>
  <c r="U155" i="7"/>
  <c r="T156" i="7"/>
  <c r="U156" i="7"/>
  <c r="U157" i="7"/>
  <c r="T157" i="7"/>
  <c r="T158" i="7"/>
  <c r="T159" i="7"/>
  <c r="U160" i="7"/>
  <c r="S161" i="7"/>
  <c r="T161" i="7"/>
  <c r="U161" i="7"/>
  <c r="T162" i="7"/>
  <c r="S163" i="7"/>
  <c r="T163" i="7"/>
  <c r="T164" i="7"/>
  <c r="U164" i="7"/>
  <c r="T165" i="7"/>
  <c r="U165" i="7"/>
  <c r="S165" i="7"/>
  <c r="T166" i="7"/>
  <c r="T167" i="7"/>
  <c r="U168" i="7"/>
  <c r="S169" i="7"/>
  <c r="T169" i="7"/>
  <c r="U169" i="7"/>
  <c r="T170" i="7"/>
  <c r="T171" i="7"/>
  <c r="U172" i="7"/>
  <c r="T173" i="7"/>
  <c r="U173" i="7"/>
  <c r="S173" i="7"/>
  <c r="T174" i="7"/>
  <c r="S175" i="7"/>
  <c r="T175" i="7"/>
  <c r="T176" i="7"/>
  <c r="U176" i="7"/>
  <c r="U177" i="7"/>
  <c r="S177" i="7"/>
  <c r="T179" i="7"/>
  <c r="U180" i="7"/>
  <c r="S181" i="7"/>
  <c r="U181" i="7"/>
  <c r="S182" i="7"/>
  <c r="T182" i="7"/>
  <c r="S183" i="7"/>
  <c r="T183" i="7"/>
  <c r="U184" i="7"/>
  <c r="S185" i="7"/>
  <c r="U185" i="7"/>
  <c r="S186" i="7"/>
  <c r="T186" i="7"/>
  <c r="U186" i="7"/>
  <c r="T187" i="7"/>
  <c r="U187" i="7"/>
  <c r="U188" i="7"/>
  <c r="S189" i="7"/>
  <c r="U189" i="7"/>
  <c r="S190" i="7"/>
  <c r="T190" i="7"/>
  <c r="U190" i="7"/>
  <c r="U191" i="7"/>
  <c r="T191" i="7"/>
  <c r="U192" i="7"/>
  <c r="S193" i="7"/>
  <c r="U193" i="7"/>
  <c r="S194" i="7"/>
  <c r="T194" i="7"/>
  <c r="U194" i="7"/>
  <c r="U195" i="7"/>
  <c r="T195" i="7"/>
  <c r="U196" i="7"/>
  <c r="S197" i="7"/>
  <c r="U197" i="7"/>
  <c r="S198" i="7"/>
  <c r="T198" i="7"/>
  <c r="U198" i="7"/>
  <c r="U199" i="7"/>
  <c r="T199" i="7"/>
  <c r="U200" i="7"/>
  <c r="S201" i="7"/>
  <c r="U201" i="7"/>
  <c r="S202" i="7"/>
  <c r="T202" i="7"/>
  <c r="U202" i="7"/>
  <c r="T3" i="7"/>
  <c r="S3" i="7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4" i="5"/>
  <c r="DC1" i="5"/>
  <c r="DD1" i="5"/>
  <c r="DE1" i="5"/>
  <c r="DF1" i="5"/>
  <c r="DG1" i="5"/>
  <c r="DH1" i="5"/>
  <c r="DI1" i="5"/>
  <c r="DB1" i="5"/>
  <c r="CO5" i="5"/>
  <c r="CP5" i="5"/>
  <c r="CQ5" i="5"/>
  <c r="CR5" i="5"/>
  <c r="CS5" i="5"/>
  <c r="CT5" i="5"/>
  <c r="CU5" i="5"/>
  <c r="CV5" i="5"/>
  <c r="CW5" i="5"/>
  <c r="CX5" i="5"/>
  <c r="CY5" i="5"/>
  <c r="CZ5" i="5"/>
  <c r="CO6" i="5"/>
  <c r="CP6" i="5"/>
  <c r="CQ6" i="5"/>
  <c r="CR6" i="5"/>
  <c r="CS6" i="5"/>
  <c r="CT6" i="5"/>
  <c r="CU6" i="5"/>
  <c r="CV6" i="5"/>
  <c r="CW6" i="5"/>
  <c r="CX6" i="5"/>
  <c r="CY6" i="5"/>
  <c r="CZ6" i="5"/>
  <c r="CO7" i="5"/>
  <c r="CP7" i="5"/>
  <c r="CQ7" i="5"/>
  <c r="CR7" i="5"/>
  <c r="CS7" i="5"/>
  <c r="CT7" i="5"/>
  <c r="CU7" i="5"/>
  <c r="CV7" i="5"/>
  <c r="CW7" i="5"/>
  <c r="CX7" i="5"/>
  <c r="CY7" i="5"/>
  <c r="CZ7" i="5"/>
  <c r="CO8" i="5"/>
  <c r="CP8" i="5"/>
  <c r="CQ8" i="5"/>
  <c r="CR8" i="5"/>
  <c r="CS8" i="5"/>
  <c r="CT8" i="5"/>
  <c r="CU8" i="5"/>
  <c r="CV8" i="5"/>
  <c r="CW8" i="5"/>
  <c r="CX8" i="5"/>
  <c r="CY8" i="5"/>
  <c r="CZ8" i="5"/>
  <c r="CO9" i="5"/>
  <c r="CP9" i="5"/>
  <c r="CQ9" i="5"/>
  <c r="CR9" i="5"/>
  <c r="CS9" i="5"/>
  <c r="CT9" i="5"/>
  <c r="CU9" i="5"/>
  <c r="CV9" i="5"/>
  <c r="CW9" i="5"/>
  <c r="CX9" i="5"/>
  <c r="CY9" i="5"/>
  <c r="CZ9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CZ4" i="5"/>
  <c r="CY4" i="5"/>
  <c r="CX4" i="5"/>
  <c r="CW4" i="5"/>
  <c r="CV4" i="5"/>
  <c r="CU4" i="5"/>
  <c r="CT4" i="5"/>
  <c r="CS4" i="5"/>
  <c r="CR4" i="5"/>
  <c r="CQ4" i="5"/>
  <c r="CP4" i="5"/>
  <c r="CO4" i="5"/>
  <c r="BY5" i="5"/>
  <c r="BY6" i="5"/>
  <c r="BY7" i="5"/>
  <c r="BY8" i="5"/>
  <c r="BY9" i="5"/>
  <c r="BY10" i="5"/>
  <c r="BY11" i="5"/>
  <c r="BY12" i="5"/>
  <c r="BY13" i="5"/>
  <c r="BY14" i="5"/>
  <c r="BY15" i="5"/>
  <c r="BY16" i="5"/>
  <c r="BY17" i="5"/>
  <c r="BY18" i="5"/>
  <c r="BY19" i="5"/>
  <c r="BY20" i="5"/>
  <c r="BY21" i="5"/>
  <c r="BY22" i="5"/>
  <c r="BY23" i="5"/>
  <c r="BY24" i="5"/>
  <c r="BY25" i="5"/>
  <c r="BY26" i="5"/>
  <c r="BY27" i="5"/>
  <c r="BY28" i="5"/>
  <c r="BY29" i="5"/>
  <c r="BY30" i="5"/>
  <c r="BY31" i="5"/>
  <c r="BY32" i="5"/>
  <c r="BY33" i="5"/>
  <c r="BY34" i="5"/>
  <c r="BY35" i="5"/>
  <c r="BY36" i="5"/>
  <c r="BY37" i="5"/>
  <c r="BY38" i="5"/>
  <c r="BY39" i="5"/>
  <c r="BY40" i="5"/>
  <c r="BY41" i="5"/>
  <c r="BY42" i="5"/>
  <c r="BY43" i="5"/>
  <c r="BY44" i="5"/>
  <c r="BY45" i="5"/>
  <c r="BY46" i="5"/>
  <c r="BY47" i="5"/>
  <c r="BY48" i="5"/>
  <c r="BY49" i="5"/>
  <c r="BY50" i="5"/>
  <c r="BY51" i="5"/>
  <c r="BY52" i="5"/>
  <c r="BY53" i="5"/>
  <c r="BY54" i="5"/>
  <c r="BY55" i="5"/>
  <c r="BY56" i="5"/>
  <c r="BY57" i="5"/>
  <c r="BY58" i="5"/>
  <c r="BY59" i="5"/>
  <c r="BY60" i="5"/>
  <c r="BY61" i="5"/>
  <c r="BY62" i="5"/>
  <c r="BY63" i="5"/>
  <c r="BY64" i="5"/>
  <c r="BY65" i="5"/>
  <c r="BY66" i="5"/>
  <c r="BY67" i="5"/>
  <c r="BY68" i="5"/>
  <c r="BY69" i="5"/>
  <c r="BY70" i="5"/>
  <c r="BY71" i="5"/>
  <c r="BY72" i="5"/>
  <c r="BY73" i="5"/>
  <c r="BY74" i="5"/>
  <c r="BY75" i="5"/>
  <c r="BY76" i="5"/>
  <c r="BY77" i="5"/>
  <c r="BY78" i="5"/>
  <c r="BY79" i="5"/>
  <c r="BY80" i="5"/>
  <c r="BY81" i="5"/>
  <c r="BY82" i="5"/>
  <c r="BY83" i="5"/>
  <c r="BY84" i="5"/>
  <c r="BY85" i="5"/>
  <c r="BY86" i="5"/>
  <c r="BY87" i="5"/>
  <c r="BY88" i="5"/>
  <c r="BY89" i="5"/>
  <c r="BY90" i="5"/>
  <c r="BY91" i="5"/>
  <c r="BY92" i="5"/>
  <c r="BY93" i="5"/>
  <c r="BY94" i="5"/>
  <c r="BY95" i="5"/>
  <c r="BY96" i="5"/>
  <c r="BY97" i="5"/>
  <c r="BY98" i="5"/>
  <c r="BY99" i="5"/>
  <c r="BY100" i="5"/>
  <c r="BY101" i="5"/>
  <c r="BY102" i="5"/>
  <c r="BY103" i="5"/>
  <c r="BY104" i="5"/>
  <c r="BY105" i="5"/>
  <c r="BY106" i="5"/>
  <c r="BY107" i="5"/>
  <c r="BY4" i="5"/>
  <c r="BK5" i="5"/>
  <c r="BL5" i="5"/>
  <c r="BM5" i="5"/>
  <c r="BN5" i="5"/>
  <c r="BO5" i="5"/>
  <c r="BP5" i="5"/>
  <c r="BQ5" i="5"/>
  <c r="BR5" i="5"/>
  <c r="BS5" i="5"/>
  <c r="BT5" i="5"/>
  <c r="BU5" i="5"/>
  <c r="BV5" i="5"/>
  <c r="BK6" i="5"/>
  <c r="BL6" i="5"/>
  <c r="BM6" i="5"/>
  <c r="BN6" i="5"/>
  <c r="BO6" i="5"/>
  <c r="BP6" i="5"/>
  <c r="BQ6" i="5"/>
  <c r="BR6" i="5"/>
  <c r="BS6" i="5"/>
  <c r="BT6" i="5"/>
  <c r="BU6" i="5"/>
  <c r="BV6" i="5"/>
  <c r="BK7" i="5"/>
  <c r="BL7" i="5"/>
  <c r="BM7" i="5"/>
  <c r="BN7" i="5"/>
  <c r="BO7" i="5"/>
  <c r="BP7" i="5"/>
  <c r="BQ7" i="5"/>
  <c r="BR7" i="5"/>
  <c r="BS7" i="5"/>
  <c r="BT7" i="5"/>
  <c r="BU7" i="5"/>
  <c r="BV7" i="5"/>
  <c r="BK8" i="5"/>
  <c r="BL8" i="5"/>
  <c r="BM8" i="5"/>
  <c r="BN8" i="5"/>
  <c r="BO8" i="5"/>
  <c r="BP8" i="5"/>
  <c r="BQ8" i="5"/>
  <c r="BR8" i="5"/>
  <c r="BS8" i="5"/>
  <c r="BT8" i="5"/>
  <c r="BU8" i="5"/>
  <c r="BV8" i="5"/>
  <c r="BK9" i="5"/>
  <c r="BL9" i="5"/>
  <c r="BM9" i="5"/>
  <c r="BN9" i="5"/>
  <c r="BO9" i="5"/>
  <c r="BP9" i="5"/>
  <c r="BQ9" i="5"/>
  <c r="BR9" i="5"/>
  <c r="BS9" i="5"/>
  <c r="BT9" i="5"/>
  <c r="BU9" i="5"/>
  <c r="BV9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V4" i="5"/>
  <c r="BU4" i="5"/>
  <c r="BT4" i="5"/>
  <c r="BS4" i="5"/>
  <c r="BR4" i="5"/>
  <c r="BQ4" i="5"/>
  <c r="BP4" i="5"/>
  <c r="BO4" i="5"/>
  <c r="BN4" i="5"/>
  <c r="BM4" i="5"/>
  <c r="BL4" i="5"/>
  <c r="BK4" i="5"/>
  <c r="AB5" i="5"/>
  <c r="AB6" i="5" s="1"/>
  <c r="AA4" i="5"/>
  <c r="AA5" i="5" s="1"/>
  <c r="AA6" i="5" s="1"/>
  <c r="AA7" i="5" s="1"/>
  <c r="AA8" i="5" s="1"/>
  <c r="AB4" i="5"/>
  <c r="AC4" i="5"/>
  <c r="AC5" i="5" s="1"/>
  <c r="AD4" i="5"/>
  <c r="AD5" i="5" s="1"/>
  <c r="AE4" i="5"/>
  <c r="AE5" i="5" s="1"/>
  <c r="AE6" i="5" s="1"/>
  <c r="AE7" i="5" s="1"/>
  <c r="AF4" i="5"/>
  <c r="AF5" i="5" s="1"/>
  <c r="AF6" i="5" s="1"/>
  <c r="AG4" i="5"/>
  <c r="AG5" i="5" s="1"/>
  <c r="AG6" i="5" s="1"/>
  <c r="AG7" i="5" s="1"/>
  <c r="AG8" i="5" s="1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V135" i="7" l="1"/>
  <c r="W56" i="7"/>
  <c r="X188" i="7"/>
  <c r="V185" i="7"/>
  <c r="V181" i="7"/>
  <c r="V164" i="7"/>
  <c r="V131" i="7"/>
  <c r="X120" i="7"/>
  <c r="V116" i="7"/>
  <c r="W101" i="7"/>
  <c r="V83" i="7"/>
  <c r="X78" i="7"/>
  <c r="W71" i="7"/>
  <c r="V47" i="7"/>
  <c r="V24" i="7"/>
  <c r="X20" i="7"/>
  <c r="V8" i="7"/>
  <c r="V162" i="7"/>
  <c r="W196" i="7"/>
  <c r="V193" i="7"/>
  <c r="W188" i="7"/>
  <c r="V166" i="7"/>
  <c r="W148" i="7"/>
  <c r="X144" i="7"/>
  <c r="X124" i="7"/>
  <c r="X109" i="7"/>
  <c r="X90" i="7"/>
  <c r="V85" i="7"/>
  <c r="W76" i="7"/>
  <c r="X49" i="7"/>
  <c r="W30" i="7"/>
  <c r="V27" i="7"/>
  <c r="W20" i="7"/>
  <c r="X116" i="7"/>
  <c r="V59" i="7"/>
  <c r="X56" i="7"/>
  <c r="X47" i="7"/>
  <c r="V177" i="7"/>
  <c r="V196" i="7"/>
  <c r="W191" i="7"/>
  <c r="X186" i="7"/>
  <c r="W170" i="7"/>
  <c r="V148" i="7"/>
  <c r="X146" i="7"/>
  <c r="X142" i="7"/>
  <c r="W122" i="7"/>
  <c r="W109" i="7"/>
  <c r="V107" i="7"/>
  <c r="X94" i="7"/>
  <c r="V76" i="7"/>
  <c r="X55" i="7"/>
  <c r="X52" i="7"/>
  <c r="W46" i="7"/>
  <c r="V30" i="7"/>
  <c r="V13" i="7"/>
  <c r="W10" i="7"/>
  <c r="V141" i="7"/>
  <c r="W79" i="7"/>
  <c r="X5" i="7"/>
  <c r="X201" i="7"/>
  <c r="X166" i="7"/>
  <c r="V69" i="7"/>
  <c r="V191" i="7"/>
  <c r="W186" i="7"/>
  <c r="W174" i="7"/>
  <c r="V159" i="7"/>
  <c r="V144" i="7"/>
  <c r="W142" i="7"/>
  <c r="X138" i="7"/>
  <c r="V126" i="7"/>
  <c r="V111" i="7"/>
  <c r="V109" i="7"/>
  <c r="W94" i="7"/>
  <c r="W82" i="7"/>
  <c r="V58" i="7"/>
  <c r="W55" i="7"/>
  <c r="V49" i="7"/>
  <c r="X36" i="7"/>
  <c r="X19" i="7"/>
  <c r="W16" i="7"/>
  <c r="W7" i="7"/>
  <c r="W17" i="7"/>
  <c r="V61" i="7"/>
  <c r="V41" i="7"/>
  <c r="W202" i="7"/>
  <c r="X178" i="7"/>
  <c r="X163" i="7"/>
  <c r="V155" i="7"/>
  <c r="X151" i="7"/>
  <c r="W138" i="7"/>
  <c r="W128" i="7"/>
  <c r="X117" i="7"/>
  <c r="V113" i="7"/>
  <c r="V94" i="7"/>
  <c r="X80" i="7"/>
  <c r="X75" i="7"/>
  <c r="X70" i="7"/>
  <c r="V55" i="7"/>
  <c r="V26" i="7"/>
  <c r="X22" i="7"/>
  <c r="V16" i="7"/>
  <c r="V89" i="7"/>
  <c r="V17" i="7"/>
  <c r="V202" i="7"/>
  <c r="V194" i="7"/>
  <c r="W180" i="7"/>
  <c r="W165" i="7"/>
  <c r="W163" i="7"/>
  <c r="W151" i="7"/>
  <c r="V136" i="7"/>
  <c r="X119" i="7"/>
  <c r="W117" i="7"/>
  <c r="W102" i="7"/>
  <c r="V92" i="7"/>
  <c r="X77" i="7"/>
  <c r="W75" i="7"/>
  <c r="W65" i="7"/>
  <c r="X45" i="7"/>
  <c r="V29" i="7"/>
  <c r="X25" i="7"/>
  <c r="V19" i="7"/>
  <c r="V137" i="7"/>
  <c r="X101" i="7"/>
  <c r="W24" i="7"/>
  <c r="W197" i="7"/>
  <c r="W184" i="7"/>
  <c r="W167" i="7"/>
  <c r="V165" i="7"/>
  <c r="V151" i="7"/>
  <c r="X125" i="7"/>
  <c r="W106" i="7"/>
  <c r="X104" i="7"/>
  <c r="W100" i="7"/>
  <c r="V80" i="7"/>
  <c r="X67" i="7"/>
  <c r="V65" i="7"/>
  <c r="W57" i="7"/>
  <c r="W45" i="7"/>
  <c r="W25" i="7"/>
  <c r="V22" i="7"/>
  <c r="W15" i="7"/>
  <c r="W129" i="7"/>
  <c r="W97" i="7"/>
  <c r="V79" i="7"/>
  <c r="V31" i="7"/>
  <c r="X195" i="7"/>
  <c r="V182" i="7"/>
  <c r="X173" i="7"/>
  <c r="V169" i="7"/>
  <c r="V149" i="7"/>
  <c r="X145" i="7"/>
  <c r="V119" i="7"/>
  <c r="X114" i="7"/>
  <c r="X108" i="7"/>
  <c r="V100" i="7"/>
  <c r="V86" i="7"/>
  <c r="V77" i="7"/>
  <c r="W67" i="7"/>
  <c r="V57" i="7"/>
  <c r="W54" i="7"/>
  <c r="W48" i="7"/>
  <c r="V39" i="7"/>
  <c r="W35" i="7"/>
  <c r="V32" i="7"/>
  <c r="X21" i="7"/>
  <c r="V15" i="7"/>
  <c r="W12" i="7"/>
  <c r="V91" i="7"/>
  <c r="W131" i="7"/>
  <c r="V95" i="7"/>
  <c r="X85" i="7"/>
  <c r="V64" i="7"/>
  <c r="W47" i="7"/>
  <c r="V34" i="7"/>
  <c r="V200" i="7"/>
  <c r="V192" i="7"/>
  <c r="W171" i="7"/>
  <c r="X160" i="7"/>
  <c r="W158" i="7"/>
  <c r="W156" i="7"/>
  <c r="X147" i="7"/>
  <c r="W145" i="7"/>
  <c r="X143" i="7"/>
  <c r="X141" i="7"/>
  <c r="X135" i="7"/>
  <c r="V125" i="7"/>
  <c r="X123" i="7"/>
  <c r="W114" i="7"/>
  <c r="X112" i="7"/>
  <c r="V110" i="7"/>
  <c r="W108" i="7"/>
  <c r="V104" i="7"/>
  <c r="X91" i="7"/>
  <c r="V72" i="7"/>
  <c r="X59" i="7"/>
  <c r="V54" i="7"/>
  <c r="V51" i="7"/>
  <c r="V48" i="7"/>
  <c r="X38" i="7"/>
  <c r="V35" i="7"/>
  <c r="X28" i="7"/>
  <c r="W21" i="7"/>
  <c r="V18" i="7"/>
  <c r="V6" i="7"/>
  <c r="F3" i="7"/>
  <c r="V190" i="7" s="1"/>
  <c r="W139" i="7"/>
  <c r="V112" i="7"/>
  <c r="W31" i="7"/>
  <c r="W185" i="7"/>
  <c r="W164" i="7"/>
  <c r="X103" i="7"/>
  <c r="X71" i="7"/>
  <c r="V50" i="7"/>
  <c r="X37" i="7"/>
  <c r="X198" i="7"/>
  <c r="V195" i="7"/>
  <c r="X190" i="7"/>
  <c r="X177" i="7"/>
  <c r="X175" i="7"/>
  <c r="V173" i="7"/>
  <c r="V171" i="7"/>
  <c r="X162" i="7"/>
  <c r="W160" i="7"/>
  <c r="V158" i="7"/>
  <c r="W147" i="7"/>
  <c r="V145" i="7"/>
  <c r="W143" i="7"/>
  <c r="W141" i="7"/>
  <c r="X139" i="7"/>
  <c r="W137" i="7"/>
  <c r="W135" i="7"/>
  <c r="W133" i="7"/>
  <c r="X129" i="7"/>
  <c r="V127" i="7"/>
  <c r="W123" i="7"/>
  <c r="W112" i="7"/>
  <c r="V108" i="7"/>
  <c r="X95" i="7"/>
  <c r="X93" i="7"/>
  <c r="W91" i="7"/>
  <c r="W89" i="7"/>
  <c r="X81" i="7"/>
  <c r="X79" i="7"/>
  <c r="X74" i="7"/>
  <c r="X69" i="7"/>
  <c r="X64" i="7"/>
  <c r="W59" i="7"/>
  <c r="X50" i="7"/>
  <c r="X41" i="7"/>
  <c r="W38" i="7"/>
  <c r="X34" i="7"/>
  <c r="X31" i="7"/>
  <c r="W28" i="7"/>
  <c r="V21" i="7"/>
  <c r="X17" i="7"/>
  <c r="X14" i="7"/>
  <c r="S37" i="7"/>
  <c r="U6" i="7"/>
  <c r="U24" i="7"/>
  <c r="U16" i="7"/>
  <c r="S53" i="7"/>
  <c r="S41" i="7"/>
  <c r="U36" i="7"/>
  <c r="T38" i="7"/>
  <c r="T33" i="7"/>
  <c r="U28" i="7"/>
  <c r="U182" i="7"/>
  <c r="U178" i="7"/>
  <c r="U174" i="7"/>
  <c r="U170" i="7"/>
  <c r="U166" i="7"/>
  <c r="U162" i="7"/>
  <c r="U158" i="7"/>
  <c r="S157" i="7"/>
  <c r="S153" i="7"/>
  <c r="U150" i="7"/>
  <c r="T146" i="7"/>
  <c r="T139" i="7"/>
  <c r="T135" i="7"/>
  <c r="U131" i="7"/>
  <c r="S130" i="7"/>
  <c r="T127" i="7"/>
  <c r="U123" i="7"/>
  <c r="U119" i="7"/>
  <c r="S118" i="7"/>
  <c r="U115" i="7"/>
  <c r="U111" i="7"/>
  <c r="U107" i="7"/>
  <c r="U103" i="7"/>
  <c r="U99" i="7"/>
  <c r="U95" i="7"/>
  <c r="U91" i="7"/>
  <c r="S86" i="7"/>
  <c r="T82" i="7"/>
  <c r="U78" i="7"/>
  <c r="T74" i="7"/>
  <c r="T70" i="7"/>
  <c r="T66" i="7"/>
  <c r="U62" i="7"/>
  <c r="S57" i="7"/>
  <c r="U54" i="7"/>
  <c r="U50" i="7"/>
  <c r="U46" i="7"/>
  <c r="U42" i="7"/>
  <c r="U38" i="7"/>
  <c r="U34" i="7"/>
  <c r="U30" i="7"/>
  <c r="U26" i="7"/>
  <c r="U22" i="7"/>
  <c r="U18" i="7"/>
  <c r="T6" i="7"/>
  <c r="T30" i="7"/>
  <c r="T26" i="7"/>
  <c r="T22" i="7"/>
  <c r="T18" i="7"/>
  <c r="U14" i="7"/>
  <c r="U10" i="7"/>
  <c r="S6" i="7"/>
  <c r="S178" i="7"/>
  <c r="S174" i="7"/>
  <c r="S170" i="7"/>
  <c r="S166" i="7"/>
  <c r="S162" i="7"/>
  <c r="S158" i="7"/>
  <c r="U154" i="7"/>
  <c r="S150" i="7"/>
  <c r="T143" i="7"/>
  <c r="T140" i="7"/>
  <c r="T136" i="7"/>
  <c r="U132" i="7"/>
  <c r="S131" i="7"/>
  <c r="U128" i="7"/>
  <c r="S123" i="7"/>
  <c r="U120" i="7"/>
  <c r="S119" i="7"/>
  <c r="S115" i="7"/>
  <c r="S111" i="7"/>
  <c r="S107" i="7"/>
  <c r="S103" i="7"/>
  <c r="S99" i="7"/>
  <c r="S95" i="7"/>
  <c r="S91" i="7"/>
  <c r="T87" i="7"/>
  <c r="U83" i="7"/>
  <c r="S78" i="7"/>
  <c r="U75" i="7"/>
  <c r="U71" i="7"/>
  <c r="U67" i="7"/>
  <c r="U63" i="7"/>
  <c r="S62" i="7"/>
  <c r="T58" i="7"/>
  <c r="S54" i="7"/>
  <c r="S50" i="7"/>
  <c r="S46" i="7"/>
  <c r="S42" i="7"/>
  <c r="S38" i="7"/>
  <c r="S34" i="7"/>
  <c r="S30" i="7"/>
  <c r="S26" i="7"/>
  <c r="S22" i="7"/>
  <c r="S18" i="7"/>
  <c r="T14" i="7"/>
  <c r="T10" i="7"/>
  <c r="U7" i="7"/>
  <c r="U183" i="7"/>
  <c r="U179" i="7"/>
  <c r="U175" i="7"/>
  <c r="U171" i="7"/>
  <c r="U167" i="7"/>
  <c r="U163" i="7"/>
  <c r="U159" i="7"/>
  <c r="T154" i="7"/>
  <c r="U147" i="7"/>
  <c r="U144" i="7"/>
  <c r="S143" i="7"/>
  <c r="S140" i="7"/>
  <c r="S136" i="7"/>
  <c r="T132" i="7"/>
  <c r="T128" i="7"/>
  <c r="T120" i="7"/>
  <c r="U116" i="7"/>
  <c r="U112" i="7"/>
  <c r="U108" i="7"/>
  <c r="U104" i="7"/>
  <c r="U100" i="7"/>
  <c r="U96" i="7"/>
  <c r="U92" i="7"/>
  <c r="S87" i="7"/>
  <c r="T83" i="7"/>
  <c r="U79" i="7"/>
  <c r="T75" i="7"/>
  <c r="T71" i="7"/>
  <c r="T67" i="7"/>
  <c r="T63" i="7"/>
  <c r="S58" i="7"/>
  <c r="U55" i="7"/>
  <c r="U51" i="7"/>
  <c r="U47" i="7"/>
  <c r="U43" i="7"/>
  <c r="U39" i="7"/>
  <c r="U35" i="7"/>
  <c r="U31" i="7"/>
  <c r="U27" i="7"/>
  <c r="U23" i="7"/>
  <c r="U19" i="7"/>
  <c r="U15" i="7"/>
  <c r="S14" i="7"/>
  <c r="U11" i="7"/>
  <c r="S10" i="7"/>
  <c r="T7" i="7"/>
  <c r="T116" i="7"/>
  <c r="T112" i="7"/>
  <c r="T108" i="7"/>
  <c r="T104" i="7"/>
  <c r="T100" i="7"/>
  <c r="T96" i="7"/>
  <c r="T92" i="7"/>
  <c r="U88" i="7"/>
  <c r="S83" i="7"/>
  <c r="T79" i="7"/>
  <c r="S75" i="7"/>
  <c r="S71" i="7"/>
  <c r="S67" i="7"/>
  <c r="S63" i="7"/>
  <c r="U59" i="7"/>
  <c r="T55" i="7"/>
  <c r="T51" i="7"/>
  <c r="T47" i="7"/>
  <c r="T43" i="7"/>
  <c r="T39" i="7"/>
  <c r="T35" i="7"/>
  <c r="T31" i="7"/>
  <c r="T27" i="7"/>
  <c r="T23" i="7"/>
  <c r="T19" i="7"/>
  <c r="T15" i="7"/>
  <c r="T11" i="7"/>
  <c r="S7" i="7"/>
  <c r="U84" i="7"/>
  <c r="U80" i="7"/>
  <c r="S79" i="7"/>
  <c r="U72" i="7"/>
  <c r="U68" i="7"/>
  <c r="T59" i="7"/>
  <c r="S55" i="7"/>
  <c r="S51" i="7"/>
  <c r="S47" i="7"/>
  <c r="S43" i="7"/>
  <c r="S39" i="7"/>
  <c r="S35" i="7"/>
  <c r="S31" i="7"/>
  <c r="S27" i="7"/>
  <c r="S23" i="7"/>
  <c r="S19" i="7"/>
  <c r="S15" i="7"/>
  <c r="S11" i="7"/>
  <c r="U4" i="7"/>
  <c r="T4" i="7"/>
  <c r="S80" i="7"/>
  <c r="T76" i="7"/>
  <c r="S72" i="7"/>
  <c r="U69" i="7"/>
  <c r="S68" i="7"/>
  <c r="T64" i="7"/>
  <c r="T60" i="7"/>
  <c r="T56" i="7"/>
  <c r="T52" i="7"/>
  <c r="T48" i="7"/>
  <c r="T44" i="7"/>
  <c r="T40" i="7"/>
  <c r="T36" i="7"/>
  <c r="T32" i="7"/>
  <c r="T28" i="7"/>
  <c r="T24" i="7"/>
  <c r="T20" i="7"/>
  <c r="T16" i="7"/>
  <c r="U12" i="7"/>
  <c r="T8" i="7"/>
  <c r="U5" i="7"/>
  <c r="S4" i="7"/>
  <c r="S180" i="7"/>
  <c r="S176" i="7"/>
  <c r="S172" i="7"/>
  <c r="S168" i="7"/>
  <c r="S164" i="7"/>
  <c r="S160" i="7"/>
  <c r="S156" i="7"/>
  <c r="U152" i="7"/>
  <c r="T145" i="7"/>
  <c r="T138" i="7"/>
  <c r="T134" i="7"/>
  <c r="S129" i="7"/>
  <c r="U126" i="7"/>
  <c r="S125" i="7"/>
  <c r="U122" i="7"/>
  <c r="S117" i="7"/>
  <c r="S113" i="7"/>
  <c r="S109" i="7"/>
  <c r="S105" i="7"/>
  <c r="S101" i="7"/>
  <c r="S97" i="7"/>
  <c r="S93" i="7"/>
  <c r="S89" i="7"/>
  <c r="T85" i="7"/>
  <c r="U81" i="7"/>
  <c r="S76" i="7"/>
  <c r="U73" i="7"/>
  <c r="T69" i="7"/>
  <c r="S64" i="7"/>
  <c r="S60" i="7"/>
  <c r="S56" i="7"/>
  <c r="S52" i="7"/>
  <c r="S48" i="7"/>
  <c r="S44" i="7"/>
  <c r="S40" i="7"/>
  <c r="S36" i="7"/>
  <c r="S32" i="7"/>
  <c r="S28" i="7"/>
  <c r="S24" i="7"/>
  <c r="S20" i="7"/>
  <c r="S16" i="7"/>
  <c r="T12" i="7"/>
  <c r="S8" i="7"/>
  <c r="T5" i="7"/>
  <c r="T126" i="7"/>
  <c r="T122" i="7"/>
  <c r="U114" i="7"/>
  <c r="U110" i="7"/>
  <c r="U106" i="7"/>
  <c r="U102" i="7"/>
  <c r="U98" i="7"/>
  <c r="U94" i="7"/>
  <c r="U90" i="7"/>
  <c r="S85" i="7"/>
  <c r="T81" i="7"/>
  <c r="U77" i="7"/>
  <c r="T73" i="7"/>
  <c r="S69" i="7"/>
  <c r="U65" i="7"/>
  <c r="U61" i="7"/>
  <c r="U53" i="7"/>
  <c r="U49" i="7"/>
  <c r="U45" i="7"/>
  <c r="U41" i="7"/>
  <c r="U37" i="7"/>
  <c r="U33" i="7"/>
  <c r="U29" i="7"/>
  <c r="U25" i="7"/>
  <c r="U21" i="7"/>
  <c r="U17" i="7"/>
  <c r="U13" i="7"/>
  <c r="S12" i="7"/>
  <c r="U9" i="7"/>
  <c r="S5" i="7"/>
  <c r="Q72" i="7"/>
  <c r="Q73" i="7"/>
  <c r="P74" i="7"/>
  <c r="R114" i="7"/>
  <c r="Q115" i="7"/>
  <c r="Q116" i="7"/>
  <c r="R5" i="7"/>
  <c r="R6" i="7"/>
  <c r="R7" i="7"/>
  <c r="P17" i="7"/>
  <c r="P18" i="7"/>
  <c r="P19" i="7"/>
  <c r="P29" i="7"/>
  <c r="P30" i="7"/>
  <c r="P31" i="7"/>
  <c r="P41" i="7"/>
  <c r="P42" i="7"/>
  <c r="P43" i="7"/>
  <c r="P53" i="7"/>
  <c r="P54" i="7"/>
  <c r="P55" i="7"/>
  <c r="R83" i="7"/>
  <c r="Q84" i="7"/>
  <c r="P85" i="7"/>
  <c r="R118" i="7"/>
  <c r="Q119" i="7"/>
  <c r="P120" i="7"/>
  <c r="Q15" i="7"/>
  <c r="Q16" i="7"/>
  <c r="Q17" i="7"/>
  <c r="Q27" i="7"/>
  <c r="Q28" i="7"/>
  <c r="Q29" i="7"/>
  <c r="Q39" i="7"/>
  <c r="Q40" i="7"/>
  <c r="Q41" i="7"/>
  <c r="Q51" i="7"/>
  <c r="Q52" i="7"/>
  <c r="Q53" i="7"/>
  <c r="Q76" i="7"/>
  <c r="Q77" i="7"/>
  <c r="R84" i="7"/>
  <c r="Q120" i="7"/>
  <c r="P121" i="7"/>
  <c r="P122" i="7"/>
  <c r="R19" i="7"/>
  <c r="R20" i="7"/>
  <c r="R21" i="7"/>
  <c r="R31" i="7"/>
  <c r="R32" i="7"/>
  <c r="R33" i="7"/>
  <c r="R43" i="7"/>
  <c r="R44" i="7"/>
  <c r="R45" i="7"/>
  <c r="R55" i="7"/>
  <c r="Q56" i="7"/>
  <c r="R57" i="7"/>
  <c r="Q86" i="7"/>
  <c r="R93" i="7"/>
  <c r="Q94" i="7"/>
  <c r="Q125" i="7"/>
  <c r="P126" i="7"/>
  <c r="P129" i="7"/>
  <c r="P78" i="7"/>
  <c r="P79" i="7"/>
  <c r="R86" i="7"/>
  <c r="R125" i="7"/>
  <c r="Q126" i="7"/>
  <c r="P127" i="7"/>
  <c r="Q65" i="7"/>
  <c r="P66" i="7"/>
  <c r="Q78" i="7"/>
  <c r="Q127" i="7"/>
  <c r="Q128" i="7"/>
  <c r="R129" i="7"/>
  <c r="P68" i="7"/>
  <c r="R78" i="7"/>
  <c r="R79" i="7"/>
  <c r="R128" i="7"/>
  <c r="R131" i="7"/>
  <c r="Q132" i="7"/>
  <c r="P197" i="7"/>
  <c r="P195" i="7"/>
  <c r="P193" i="7"/>
  <c r="P174" i="7"/>
  <c r="P173" i="7"/>
  <c r="P172" i="7"/>
  <c r="P161" i="7"/>
  <c r="P160" i="7"/>
  <c r="P158" i="7"/>
  <c r="R110" i="7"/>
  <c r="R66" i="7"/>
  <c r="R148" i="7"/>
  <c r="R67" i="7"/>
  <c r="Q158" i="7"/>
  <c r="P182" i="7"/>
  <c r="R71" i="7"/>
  <c r="R70" i="7"/>
  <c r="Q69" i="7"/>
  <c r="P72" i="7"/>
  <c r="Q71" i="7"/>
  <c r="Q70" i="7"/>
  <c r="R89" i="7"/>
  <c r="P71" i="7"/>
  <c r="P70" i="7"/>
  <c r="P194" i="7"/>
  <c r="P192" i="7"/>
  <c r="P189" i="7"/>
  <c r="P168" i="7"/>
  <c r="Q152" i="7"/>
  <c r="P117" i="7"/>
  <c r="R97" i="7"/>
  <c r="P88" i="7"/>
  <c r="R81" i="7"/>
  <c r="P118" i="7"/>
  <c r="R101" i="7"/>
  <c r="R100" i="7"/>
  <c r="P154" i="7"/>
  <c r="R141" i="7"/>
  <c r="Q140" i="7"/>
  <c r="Q101" i="7"/>
  <c r="Q100" i="7"/>
  <c r="Q99" i="7"/>
  <c r="R199" i="7"/>
  <c r="R198" i="7"/>
  <c r="R197" i="7"/>
  <c r="R187" i="7"/>
  <c r="R186" i="7"/>
  <c r="R185" i="7"/>
  <c r="R175" i="7"/>
  <c r="R174" i="7"/>
  <c r="R173" i="7"/>
  <c r="R163" i="7"/>
  <c r="R162" i="7"/>
  <c r="R161" i="7"/>
  <c r="P137" i="7"/>
  <c r="P136" i="7"/>
  <c r="Q135" i="7"/>
  <c r="D3" i="7"/>
  <c r="Q9" i="7" s="1"/>
  <c r="Q198" i="7"/>
  <c r="Q196" i="7"/>
  <c r="Q195" i="7"/>
  <c r="Q183" i="7"/>
  <c r="Q180" i="7"/>
  <c r="Q179" i="7"/>
  <c r="Q178" i="7"/>
  <c r="Q166" i="7"/>
  <c r="Q165" i="7"/>
  <c r="Q164" i="7"/>
  <c r="P141" i="7"/>
  <c r="P139" i="7"/>
  <c r="P135" i="7"/>
  <c r="DL4" i="5" a="1"/>
  <c r="DL4" i="5" s="1"/>
  <c r="BX9" i="5"/>
  <c r="BX8" i="5"/>
  <c r="BX81" i="5"/>
  <c r="BX59" i="5"/>
  <c r="BX78" i="5"/>
  <c r="BX63" i="5"/>
  <c r="BX46" i="5"/>
  <c r="BX43" i="5"/>
  <c r="BX39" i="5"/>
  <c r="BX26" i="5"/>
  <c r="BX25" i="5"/>
  <c r="BX82" i="5"/>
  <c r="BX80" i="5"/>
  <c r="BX66" i="5"/>
  <c r="BX27" i="5"/>
  <c r="BX99" i="5"/>
  <c r="BX98" i="5"/>
  <c r="BX97" i="5"/>
  <c r="BX93" i="5"/>
  <c r="BX61" i="5"/>
  <c r="BX79" i="5"/>
  <c r="BX76" i="5"/>
  <c r="BX64" i="5"/>
  <c r="BX40" i="5"/>
  <c r="BX94" i="5"/>
  <c r="BX48" i="5"/>
  <c r="BX23" i="5"/>
  <c r="BX92" i="5"/>
  <c r="BX60" i="5"/>
  <c r="BX47" i="5"/>
  <c r="BX24" i="5"/>
  <c r="BX22" i="5"/>
  <c r="BX72" i="5"/>
  <c r="BX54" i="5"/>
  <c r="BX52" i="5"/>
  <c r="BX36" i="5"/>
  <c r="BX34" i="5"/>
  <c r="BX13" i="5"/>
  <c r="BX12" i="5"/>
  <c r="BX107" i="5"/>
  <c r="BX105" i="5"/>
  <c r="BX103" i="5"/>
  <c r="BX101" i="5"/>
  <c r="BX100" i="5"/>
  <c r="BX95" i="5"/>
  <c r="BX91" i="5"/>
  <c r="BX90" i="5"/>
  <c r="BX89" i="5"/>
  <c r="BX88" i="5"/>
  <c r="BX87" i="5"/>
  <c r="BX86" i="5"/>
  <c r="BX85" i="5"/>
  <c r="BX74" i="5"/>
  <c r="BX73" i="5"/>
  <c r="BX69" i="5"/>
  <c r="BX68" i="5"/>
  <c r="BX67" i="5"/>
  <c r="BX56" i="5"/>
  <c r="BX55" i="5"/>
  <c r="BX51" i="5"/>
  <c r="BX50" i="5"/>
  <c r="BX38" i="5"/>
  <c r="BX37" i="5"/>
  <c r="BX33" i="5"/>
  <c r="BX32" i="5"/>
  <c r="BX19" i="5"/>
  <c r="BX16" i="5"/>
  <c r="BX11" i="5"/>
  <c r="BX10" i="5"/>
  <c r="BX106" i="5"/>
  <c r="BX104" i="5"/>
  <c r="BX102" i="5"/>
  <c r="BX96" i="5"/>
  <c r="BX84" i="5"/>
  <c r="BX83" i="5"/>
  <c r="BX77" i="5"/>
  <c r="BX75" i="5"/>
  <c r="BX71" i="5"/>
  <c r="BX70" i="5"/>
  <c r="BX65" i="5"/>
  <c r="BX62" i="5"/>
  <c r="BX58" i="5"/>
  <c r="BX57" i="5"/>
  <c r="BX53" i="5"/>
  <c r="BX49" i="5"/>
  <c r="BX45" i="5"/>
  <c r="BX44" i="5"/>
  <c r="BX42" i="5"/>
  <c r="BX41" i="5"/>
  <c r="BX35" i="5"/>
  <c r="BX31" i="5"/>
  <c r="BX30" i="5"/>
  <c r="BX29" i="5"/>
  <c r="BX28" i="5"/>
  <c r="BX21" i="5"/>
  <c r="BX20" i="5"/>
  <c r="BX18" i="5"/>
  <c r="BX17" i="5"/>
  <c r="BX15" i="5"/>
  <c r="BX14" i="5"/>
  <c r="BX7" i="5"/>
  <c r="BX6" i="5"/>
  <c r="BX5" i="5"/>
  <c r="BX4" i="5"/>
  <c r="AD6" i="5"/>
  <c r="AC6" i="5"/>
  <c r="AB7" i="5"/>
  <c r="AE8" i="5"/>
  <c r="AA9" i="5"/>
  <c r="AF7" i="5"/>
  <c r="AG9" i="5"/>
  <c r="AH12" i="5"/>
  <c r="AP12" i="5" s="1"/>
  <c r="AH107" i="5"/>
  <c r="AP107" i="5" s="1"/>
  <c r="AH95" i="5"/>
  <c r="AP95" i="5" s="1"/>
  <c r="AH45" i="5"/>
  <c r="AP45" i="5" s="1"/>
  <c r="AH7" i="5"/>
  <c r="AP7" i="5" s="1"/>
  <c r="AH71" i="5"/>
  <c r="AP71" i="5" s="1"/>
  <c r="AH83" i="5"/>
  <c r="AP83" i="5" s="1"/>
  <c r="AH23" i="5"/>
  <c r="AP23" i="5" s="1"/>
  <c r="AH59" i="5"/>
  <c r="AP59" i="5" s="1"/>
  <c r="AH81" i="5"/>
  <c r="AP81" i="5" s="1"/>
  <c r="AH33" i="5"/>
  <c r="AP33" i="5" s="1"/>
  <c r="AH78" i="5"/>
  <c r="AP78" i="5" s="1"/>
  <c r="AH6" i="5"/>
  <c r="AP6" i="5" s="1"/>
  <c r="AH77" i="5"/>
  <c r="AP77" i="5" s="1"/>
  <c r="AH29" i="5"/>
  <c r="AP29" i="5" s="1"/>
  <c r="AH100" i="5"/>
  <c r="AP100" i="5" s="1"/>
  <c r="AH88" i="5"/>
  <c r="AP88" i="5" s="1"/>
  <c r="AH76" i="5"/>
  <c r="AP76" i="5" s="1"/>
  <c r="AH64" i="5"/>
  <c r="AP64" i="5" s="1"/>
  <c r="AH52" i="5"/>
  <c r="AP52" i="5" s="1"/>
  <c r="AH40" i="5"/>
  <c r="AP40" i="5" s="1"/>
  <c r="AH28" i="5"/>
  <c r="AP28" i="5" s="1"/>
  <c r="AH16" i="5"/>
  <c r="AP16" i="5" s="1"/>
  <c r="AH99" i="5"/>
  <c r="AP99" i="5" s="1"/>
  <c r="AH87" i="5"/>
  <c r="AP87" i="5" s="1"/>
  <c r="AH75" i="5"/>
  <c r="AP75" i="5" s="1"/>
  <c r="AH63" i="5"/>
  <c r="AP63" i="5" s="1"/>
  <c r="AH51" i="5"/>
  <c r="AP51" i="5" s="1"/>
  <c r="AH39" i="5"/>
  <c r="AP39" i="5" s="1"/>
  <c r="AH27" i="5"/>
  <c r="AP27" i="5" s="1"/>
  <c r="AH15" i="5"/>
  <c r="AP15" i="5" s="1"/>
  <c r="AH69" i="5"/>
  <c r="AP69" i="5" s="1"/>
  <c r="AH42" i="5"/>
  <c r="AP42" i="5" s="1"/>
  <c r="AH41" i="5"/>
  <c r="AP41" i="5" s="1"/>
  <c r="AH14" i="5"/>
  <c r="AP14" i="5" s="1"/>
  <c r="AH47" i="5"/>
  <c r="AP47" i="5" s="1"/>
  <c r="AH105" i="5"/>
  <c r="AP105" i="5" s="1"/>
  <c r="AH21" i="5"/>
  <c r="AP21" i="5" s="1"/>
  <c r="AH90" i="5"/>
  <c r="AP90" i="5" s="1"/>
  <c r="AH54" i="5"/>
  <c r="AP54" i="5" s="1"/>
  <c r="AH18" i="5"/>
  <c r="AP18" i="5" s="1"/>
  <c r="AH101" i="5"/>
  <c r="AP101" i="5" s="1"/>
  <c r="AH65" i="5"/>
  <c r="AP65" i="5" s="1"/>
  <c r="AH5" i="5"/>
  <c r="AP5" i="5" s="1"/>
  <c r="AH98" i="5"/>
  <c r="AP98" i="5" s="1"/>
  <c r="AH26" i="5"/>
  <c r="AP26" i="5" s="1"/>
  <c r="AH97" i="5"/>
  <c r="AP97" i="5" s="1"/>
  <c r="AH85" i="5"/>
  <c r="AP85" i="5" s="1"/>
  <c r="AH73" i="5"/>
  <c r="AP73" i="5" s="1"/>
  <c r="AH61" i="5"/>
  <c r="AP61" i="5" s="1"/>
  <c r="AH49" i="5"/>
  <c r="AP49" i="5" s="1"/>
  <c r="AH37" i="5"/>
  <c r="AP37" i="5" s="1"/>
  <c r="AH25" i="5"/>
  <c r="AP25" i="5" s="1"/>
  <c r="AH13" i="5"/>
  <c r="AP13" i="5" s="1"/>
  <c r="AH35" i="5"/>
  <c r="AP35" i="5" s="1"/>
  <c r="AH93" i="5"/>
  <c r="AP93" i="5" s="1"/>
  <c r="AH9" i="5"/>
  <c r="AP9" i="5" s="1"/>
  <c r="AH102" i="5"/>
  <c r="AP102" i="5" s="1"/>
  <c r="AH66" i="5"/>
  <c r="AP66" i="5" s="1"/>
  <c r="AH30" i="5"/>
  <c r="AP30" i="5" s="1"/>
  <c r="AH89" i="5"/>
  <c r="AP89" i="5" s="1"/>
  <c r="AH53" i="5"/>
  <c r="AP53" i="5" s="1"/>
  <c r="AH17" i="5"/>
  <c r="AP17" i="5" s="1"/>
  <c r="AH86" i="5"/>
  <c r="AP86" i="5" s="1"/>
  <c r="AH74" i="5"/>
  <c r="AP74" i="5" s="1"/>
  <c r="AH62" i="5"/>
  <c r="AP62" i="5" s="1"/>
  <c r="AH50" i="5"/>
  <c r="AP50" i="5" s="1"/>
  <c r="AH38" i="5"/>
  <c r="AP38" i="5" s="1"/>
  <c r="AH4" i="5"/>
  <c r="AP4" i="5" s="1"/>
  <c r="AH96" i="5"/>
  <c r="AP96" i="5" s="1"/>
  <c r="AH84" i="5"/>
  <c r="AP84" i="5" s="1"/>
  <c r="AH72" i="5"/>
  <c r="AP72" i="5" s="1"/>
  <c r="AH60" i="5"/>
  <c r="AP60" i="5" s="1"/>
  <c r="AH48" i="5"/>
  <c r="AP48" i="5" s="1"/>
  <c r="AH36" i="5"/>
  <c r="AP36" i="5" s="1"/>
  <c r="AH24" i="5"/>
  <c r="AP24" i="5" s="1"/>
  <c r="AH11" i="5"/>
  <c r="AP11" i="5" s="1"/>
  <c r="AH106" i="5"/>
  <c r="AP106" i="5" s="1"/>
  <c r="AH94" i="5"/>
  <c r="AP94" i="5" s="1"/>
  <c r="AH82" i="5"/>
  <c r="AP82" i="5" s="1"/>
  <c r="AH70" i="5"/>
  <c r="AP70" i="5" s="1"/>
  <c r="AH58" i="5"/>
  <c r="AP58" i="5" s="1"/>
  <c r="AH46" i="5"/>
  <c r="AP46" i="5" s="1"/>
  <c r="AH34" i="5"/>
  <c r="AP34" i="5" s="1"/>
  <c r="AH22" i="5"/>
  <c r="AP22" i="5" s="1"/>
  <c r="AH10" i="5"/>
  <c r="AP10" i="5" s="1"/>
  <c r="AH57" i="5"/>
  <c r="AP57" i="5" s="1"/>
  <c r="AH104" i="5"/>
  <c r="AP104" i="5" s="1"/>
  <c r="AH92" i="5"/>
  <c r="AP92" i="5" s="1"/>
  <c r="AH80" i="5"/>
  <c r="AP80" i="5" s="1"/>
  <c r="AH68" i="5"/>
  <c r="AP68" i="5" s="1"/>
  <c r="AH56" i="5"/>
  <c r="AP56" i="5" s="1"/>
  <c r="AH44" i="5"/>
  <c r="AP44" i="5" s="1"/>
  <c r="AH32" i="5"/>
  <c r="AP32" i="5" s="1"/>
  <c r="AH20" i="5"/>
  <c r="AP20" i="5" s="1"/>
  <c r="AH8" i="5"/>
  <c r="AP8" i="5" s="1"/>
  <c r="AH103" i="5"/>
  <c r="AP103" i="5" s="1"/>
  <c r="AH91" i="5"/>
  <c r="AP91" i="5" s="1"/>
  <c r="AH79" i="5"/>
  <c r="AP79" i="5" s="1"/>
  <c r="AH67" i="5"/>
  <c r="AP67" i="5" s="1"/>
  <c r="AH55" i="5"/>
  <c r="AP55" i="5" s="1"/>
  <c r="AH43" i="5"/>
  <c r="AP43" i="5" s="1"/>
  <c r="AH31" i="5"/>
  <c r="AP31" i="5" s="1"/>
  <c r="AH19" i="5"/>
  <c r="AP19" i="5" s="1"/>
  <c r="W18" i="7" l="1"/>
  <c r="V62" i="7"/>
  <c r="V121" i="7"/>
  <c r="V184" i="7"/>
  <c r="W118" i="7"/>
  <c r="W32" i="7"/>
  <c r="V70" i="7"/>
  <c r="X110" i="7"/>
  <c r="W169" i="7"/>
  <c r="X168" i="7"/>
  <c r="X32" i="7"/>
  <c r="W80" i="7"/>
  <c r="X121" i="7"/>
  <c r="X167" i="7"/>
  <c r="W66" i="7"/>
  <c r="W29" i="7"/>
  <c r="V82" i="7"/>
  <c r="X130" i="7"/>
  <c r="X165" i="7"/>
  <c r="W83" i="7"/>
  <c r="V23" i="7"/>
  <c r="X60" i="7"/>
  <c r="W113" i="7"/>
  <c r="W146" i="7"/>
  <c r="X194" i="7"/>
  <c r="W41" i="7"/>
  <c r="X16" i="7"/>
  <c r="W58" i="7"/>
  <c r="W111" i="7"/>
  <c r="X155" i="7"/>
  <c r="W199" i="7"/>
  <c r="W64" i="7"/>
  <c r="X33" i="7"/>
  <c r="V101" i="7"/>
  <c r="V150" i="7"/>
  <c r="X199" i="7"/>
  <c r="W27" i="7"/>
  <c r="W85" i="7"/>
  <c r="X148" i="7"/>
  <c r="W193" i="7"/>
  <c r="W125" i="7"/>
  <c r="W187" i="7"/>
  <c r="W181" i="7"/>
  <c r="X35" i="7"/>
  <c r="X72" i="7"/>
  <c r="V117" i="7"/>
  <c r="V178" i="7"/>
  <c r="X193" i="7"/>
  <c r="V36" i="7"/>
  <c r="W84" i="7"/>
  <c r="V128" i="7"/>
  <c r="X169" i="7"/>
  <c r="V93" i="7"/>
  <c r="W36" i="7"/>
  <c r="X84" i="7"/>
  <c r="X132" i="7"/>
  <c r="V172" i="7"/>
  <c r="W99" i="7"/>
  <c r="W26" i="7"/>
  <c r="V63" i="7"/>
  <c r="W115" i="7"/>
  <c r="X153" i="7"/>
  <c r="V199" i="7"/>
  <c r="X53" i="7"/>
  <c r="V20" i="7"/>
  <c r="W63" i="7"/>
  <c r="X113" i="7"/>
  <c r="W157" i="7"/>
  <c r="V11" i="7"/>
  <c r="W69" i="7"/>
  <c r="V37" i="7"/>
  <c r="V103" i="7"/>
  <c r="X157" i="7"/>
  <c r="V201" i="7"/>
  <c r="X30" i="7"/>
  <c r="V87" i="7"/>
  <c r="W150" i="7"/>
  <c r="X196" i="7"/>
  <c r="V25" i="7"/>
  <c r="W72" i="7"/>
  <c r="X127" i="7"/>
  <c r="V189" i="7"/>
  <c r="W11" i="7"/>
  <c r="W39" i="7"/>
  <c r="V75" i="7"/>
  <c r="W119" i="7"/>
  <c r="V180" i="7"/>
  <c r="V28" i="7"/>
  <c r="X39" i="7"/>
  <c r="X86" i="7"/>
  <c r="W130" i="7"/>
  <c r="V176" i="7"/>
  <c r="V198" i="7"/>
  <c r="V43" i="7"/>
  <c r="W88" i="7"/>
  <c r="V134" i="7"/>
  <c r="V174" i="7"/>
  <c r="W154" i="7"/>
  <c r="X29" i="7"/>
  <c r="W68" i="7"/>
  <c r="V122" i="7"/>
  <c r="W155" i="7"/>
  <c r="X202" i="7"/>
  <c r="W61" i="7"/>
  <c r="W23" i="7"/>
  <c r="X68" i="7"/>
  <c r="X115" i="7"/>
  <c r="W159" i="7"/>
  <c r="V81" i="7"/>
  <c r="W74" i="7"/>
  <c r="X40" i="7"/>
  <c r="W105" i="7"/>
  <c r="X159" i="7"/>
  <c r="W8" i="7"/>
  <c r="W37" i="7"/>
  <c r="V97" i="7"/>
  <c r="V152" i="7"/>
  <c r="W201" i="7"/>
  <c r="W192" i="7"/>
  <c r="X99" i="7"/>
  <c r="W42" i="7"/>
  <c r="W77" i="7"/>
  <c r="W121" i="7"/>
  <c r="W182" i="7"/>
  <c r="X87" i="7"/>
  <c r="X42" i="7"/>
  <c r="V88" i="7"/>
  <c r="W132" i="7"/>
  <c r="W178" i="7"/>
  <c r="W34" i="7"/>
  <c r="V52" i="7"/>
  <c r="W92" i="7"/>
  <c r="W136" i="7"/>
  <c r="W176" i="7"/>
  <c r="V175" i="7"/>
  <c r="V33" i="7"/>
  <c r="W73" i="7"/>
  <c r="V124" i="7"/>
  <c r="V157" i="7"/>
  <c r="W44" i="7"/>
  <c r="X66" i="7"/>
  <c r="X26" i="7"/>
  <c r="X73" i="7"/>
  <c r="V120" i="7"/>
  <c r="W161" i="7"/>
  <c r="X150" i="7"/>
  <c r="X83" i="7"/>
  <c r="X46" i="7"/>
  <c r="W107" i="7"/>
  <c r="X161" i="7"/>
  <c r="V74" i="7"/>
  <c r="V44" i="7"/>
  <c r="V99" i="7"/>
  <c r="V154" i="7"/>
  <c r="W5" i="7"/>
  <c r="X156" i="7"/>
  <c r="V197" i="7"/>
  <c r="X6" i="7"/>
  <c r="X48" i="7"/>
  <c r="V84" i="7"/>
  <c r="V130" i="7"/>
  <c r="X187" i="7"/>
  <c r="V4" i="7"/>
  <c r="X57" i="7"/>
  <c r="W96" i="7"/>
  <c r="V138" i="7"/>
  <c r="X182" i="7"/>
  <c r="W4" i="7"/>
  <c r="W60" i="7"/>
  <c r="X96" i="7"/>
  <c r="W140" i="7"/>
  <c r="X180" i="7"/>
  <c r="W95" i="7"/>
  <c r="V40" i="7"/>
  <c r="X88" i="7"/>
  <c r="X128" i="7"/>
  <c r="V161" i="7"/>
  <c r="W116" i="7"/>
  <c r="W93" i="7"/>
  <c r="W33" i="7"/>
  <c r="V78" i="7"/>
  <c r="W124" i="7"/>
  <c r="X172" i="7"/>
  <c r="X8" i="7"/>
  <c r="V133" i="7"/>
  <c r="X58" i="7"/>
  <c r="X111" i="7"/>
  <c r="V168" i="7"/>
  <c r="W14" i="7"/>
  <c r="V53" i="7"/>
  <c r="W103" i="7"/>
  <c r="W166" i="7"/>
  <c r="W87" i="7"/>
  <c r="W127" i="7"/>
  <c r="W173" i="7"/>
  <c r="W152" i="7"/>
  <c r="V42" i="7"/>
  <c r="W104" i="7"/>
  <c r="X158" i="7"/>
  <c r="W200" i="7"/>
  <c r="V9" i="7"/>
  <c r="X51" i="7"/>
  <c r="W86" i="7"/>
  <c r="V132" i="7"/>
  <c r="W189" i="7"/>
  <c r="W9" i="7"/>
  <c r="V60" i="7"/>
  <c r="V98" i="7"/>
  <c r="V140" i="7"/>
  <c r="X184" i="7"/>
  <c r="V7" i="7"/>
  <c r="X65" i="7"/>
  <c r="W98" i="7"/>
  <c r="V142" i="7"/>
  <c r="V186" i="7"/>
  <c r="V123" i="7"/>
  <c r="W43" i="7"/>
  <c r="V90" i="7"/>
  <c r="W134" i="7"/>
  <c r="V170" i="7"/>
  <c r="V129" i="7"/>
  <c r="X118" i="7"/>
  <c r="W40" i="7"/>
  <c r="X82" i="7"/>
  <c r="W126" i="7"/>
  <c r="X174" i="7"/>
  <c r="V38" i="7"/>
  <c r="X10" i="7"/>
  <c r="X63" i="7"/>
  <c r="W120" i="7"/>
  <c r="X170" i="7"/>
  <c r="X97" i="7"/>
  <c r="V56" i="7"/>
  <c r="X105" i="7"/>
  <c r="W168" i="7"/>
  <c r="W3" i="7"/>
  <c r="X3" i="7"/>
  <c r="V147" i="7"/>
  <c r="V3" i="7"/>
  <c r="V160" i="7"/>
  <c r="X164" i="7"/>
  <c r="W177" i="7"/>
  <c r="W190" i="7"/>
  <c r="X185" i="7"/>
  <c r="W198" i="7"/>
  <c r="V143" i="7"/>
  <c r="X181" i="7"/>
  <c r="X154" i="7"/>
  <c r="X152" i="7"/>
  <c r="W175" i="7"/>
  <c r="W162" i="7"/>
  <c r="X179" i="7"/>
  <c r="V67" i="7"/>
  <c r="X133" i="7"/>
  <c r="V187" i="7"/>
  <c r="X24" i="7"/>
  <c r="V45" i="7"/>
  <c r="V106" i="7"/>
  <c r="V167" i="7"/>
  <c r="X12" i="7"/>
  <c r="X54" i="7"/>
  <c r="V96" i="7"/>
  <c r="W149" i="7"/>
  <c r="X192" i="7"/>
  <c r="X15" i="7"/>
  <c r="X62" i="7"/>
  <c r="X100" i="7"/>
  <c r="X149" i="7"/>
  <c r="X189" i="7"/>
  <c r="X9" i="7"/>
  <c r="V68" i="7"/>
  <c r="X102" i="7"/>
  <c r="V146" i="7"/>
  <c r="W194" i="7"/>
  <c r="X4" i="7"/>
  <c r="V46" i="7"/>
  <c r="X92" i="7"/>
  <c r="X136" i="7"/>
  <c r="W172" i="7"/>
  <c r="V139" i="7"/>
  <c r="X131" i="7"/>
  <c r="X43" i="7"/>
  <c r="W90" i="7"/>
  <c r="X134" i="7"/>
  <c r="V183" i="7"/>
  <c r="X44" i="7"/>
  <c r="W13" i="7"/>
  <c r="V71" i="7"/>
  <c r="X122" i="7"/>
  <c r="W183" i="7"/>
  <c r="V5" i="7"/>
  <c r="V66" i="7"/>
  <c r="X107" i="7"/>
  <c r="V179" i="7"/>
  <c r="W81" i="7"/>
  <c r="X61" i="7"/>
  <c r="V114" i="7"/>
  <c r="V156" i="7"/>
  <c r="X27" i="7"/>
  <c r="V12" i="7"/>
  <c r="X89" i="7"/>
  <c r="X137" i="7"/>
  <c r="W195" i="7"/>
  <c r="W6" i="7"/>
  <c r="W51" i="7"/>
  <c r="W110" i="7"/>
  <c r="X171" i="7"/>
  <c r="W53" i="7"/>
  <c r="X18" i="7"/>
  <c r="W62" i="7"/>
  <c r="V102" i="7"/>
  <c r="V163" i="7"/>
  <c r="X200" i="7"/>
  <c r="W22" i="7"/>
  <c r="W70" i="7"/>
  <c r="X106" i="7"/>
  <c r="V153" i="7"/>
  <c r="X197" i="7"/>
  <c r="W19" i="7"/>
  <c r="V73" i="7"/>
  <c r="V115" i="7"/>
  <c r="W153" i="7"/>
  <c r="V14" i="7"/>
  <c r="V10" i="7"/>
  <c r="W52" i="7"/>
  <c r="X98" i="7"/>
  <c r="X140" i="7"/>
  <c r="X176" i="7"/>
  <c r="W179" i="7"/>
  <c r="X7" i="7"/>
  <c r="W49" i="7"/>
  <c r="V105" i="7"/>
  <c r="W144" i="7"/>
  <c r="V188" i="7"/>
  <c r="W50" i="7"/>
  <c r="X23" i="7"/>
  <c r="W78" i="7"/>
  <c r="X126" i="7"/>
  <c r="X191" i="7"/>
  <c r="X13" i="7"/>
  <c r="X76" i="7"/>
  <c r="V118" i="7"/>
  <c r="X183" i="7"/>
  <c r="X11" i="7"/>
  <c r="Q167" i="7"/>
  <c r="P138" i="7"/>
  <c r="Q102" i="7"/>
  <c r="R133" i="7"/>
  <c r="P152" i="7"/>
  <c r="Q171" i="7"/>
  <c r="P196" i="7"/>
  <c r="P116" i="7"/>
  <c r="Q147" i="7"/>
  <c r="P111" i="7"/>
  <c r="R69" i="7"/>
  <c r="R111" i="7"/>
  <c r="P162" i="7"/>
  <c r="P176" i="7"/>
  <c r="P199" i="7"/>
  <c r="R127" i="7"/>
  <c r="P67" i="7"/>
  <c r="R126" i="7"/>
  <c r="Q64" i="7"/>
  <c r="R122" i="7"/>
  <c r="P65" i="7"/>
  <c r="R124" i="7"/>
  <c r="R85" i="7"/>
  <c r="R54" i="7"/>
  <c r="R42" i="7"/>
  <c r="R30" i="7"/>
  <c r="R18" i="7"/>
  <c r="R119" i="7"/>
  <c r="Q75" i="7"/>
  <c r="Q50" i="7"/>
  <c r="Q38" i="7"/>
  <c r="Q26" i="7"/>
  <c r="R14" i="7"/>
  <c r="R117" i="7"/>
  <c r="P77" i="7"/>
  <c r="P52" i="7"/>
  <c r="P40" i="7"/>
  <c r="P28" i="7"/>
  <c r="P16" i="7"/>
  <c r="P104" i="7"/>
  <c r="P14" i="7"/>
  <c r="P6" i="7"/>
  <c r="R201" i="7"/>
  <c r="R134" i="7"/>
  <c r="P198" i="7"/>
  <c r="P112" i="7"/>
  <c r="Q110" i="7"/>
  <c r="R112" i="7"/>
  <c r="P163" i="7"/>
  <c r="P178" i="7"/>
  <c r="P201" i="7"/>
  <c r="P110" i="7"/>
  <c r="Q66" i="7"/>
  <c r="P109" i="7"/>
  <c r="Q63" i="7"/>
  <c r="R121" i="7"/>
  <c r="P64" i="7"/>
  <c r="R123" i="7"/>
  <c r="R77" i="7"/>
  <c r="R53" i="7"/>
  <c r="R41" i="7"/>
  <c r="R29" i="7"/>
  <c r="R17" i="7"/>
  <c r="P106" i="7"/>
  <c r="R74" i="7"/>
  <c r="Q49" i="7"/>
  <c r="Q37" i="7"/>
  <c r="Q25" i="7"/>
  <c r="Q13" i="7"/>
  <c r="R116" i="7"/>
  <c r="P76" i="7"/>
  <c r="P51" i="7"/>
  <c r="P39" i="7"/>
  <c r="P27" i="7"/>
  <c r="P15" i="7"/>
  <c r="Q154" i="7"/>
  <c r="Q103" i="7"/>
  <c r="P12" i="7"/>
  <c r="R156" i="7"/>
  <c r="Q144" i="7"/>
  <c r="Q133" i="7"/>
  <c r="Q111" i="7"/>
  <c r="Q181" i="7"/>
  <c r="R65" i="7"/>
  <c r="Q108" i="7"/>
  <c r="P108" i="7"/>
  <c r="Q122" i="7"/>
  <c r="R40" i="7"/>
  <c r="R28" i="7"/>
  <c r="R16" i="7"/>
  <c r="Q105" i="7"/>
  <c r="P60" i="7"/>
  <c r="Q48" i="7"/>
  <c r="Q36" i="7"/>
  <c r="Q24" i="7"/>
  <c r="R12" i="7"/>
  <c r="R115" i="7"/>
  <c r="P75" i="7"/>
  <c r="P50" i="7"/>
  <c r="P38" i="7"/>
  <c r="P26" i="7"/>
  <c r="Q14" i="7"/>
  <c r="Q153" i="7"/>
  <c r="R102" i="7"/>
  <c r="P11" i="7"/>
  <c r="R164" i="7"/>
  <c r="Q168" i="7"/>
  <c r="R189" i="7"/>
  <c r="P148" i="7"/>
  <c r="R166" i="7"/>
  <c r="Q149" i="7"/>
  <c r="P179" i="7"/>
  <c r="R62" i="7"/>
  <c r="R145" i="7"/>
  <c r="Q186" i="7"/>
  <c r="Q141" i="7"/>
  <c r="R167" i="7"/>
  <c r="R179" i="7"/>
  <c r="R191" i="7"/>
  <c r="Q134" i="7"/>
  <c r="P5" i="7"/>
  <c r="R137" i="7"/>
  <c r="Q176" i="7"/>
  <c r="Q89" i="7"/>
  <c r="P202" i="7"/>
  <c r="P151" i="7"/>
  <c r="Q150" i="7"/>
  <c r="P114" i="7"/>
  <c r="Q112" i="7"/>
  <c r="P142" i="7"/>
  <c r="P165" i="7"/>
  <c r="P180" i="7"/>
  <c r="Q194" i="7"/>
  <c r="R108" i="7"/>
  <c r="R64" i="7"/>
  <c r="R107" i="7"/>
  <c r="R61" i="7"/>
  <c r="Q107" i="7"/>
  <c r="Q62" i="7"/>
  <c r="Q121" i="7"/>
  <c r="R75" i="7"/>
  <c r="R51" i="7"/>
  <c r="R39" i="7"/>
  <c r="R27" i="7"/>
  <c r="R15" i="7"/>
  <c r="R104" i="7"/>
  <c r="Q59" i="7"/>
  <c r="Q47" i="7"/>
  <c r="Q35" i="7"/>
  <c r="Q23" i="7"/>
  <c r="R11" i="7"/>
  <c r="P105" i="7"/>
  <c r="Q74" i="7"/>
  <c r="P49" i="7"/>
  <c r="P37" i="7"/>
  <c r="P25" i="7"/>
  <c r="P13" i="7"/>
  <c r="R152" i="7"/>
  <c r="P92" i="7"/>
  <c r="Q10" i="7"/>
  <c r="Q142" i="7"/>
  <c r="R200" i="7"/>
  <c r="R143" i="7"/>
  <c r="R177" i="7"/>
  <c r="P153" i="7"/>
  <c r="P99" i="7"/>
  <c r="R202" i="7"/>
  <c r="R88" i="7"/>
  <c r="R113" i="7"/>
  <c r="R52" i="7"/>
  <c r="Q170" i="7"/>
  <c r="P100" i="7"/>
  <c r="R157" i="7"/>
  <c r="Q172" i="7"/>
  <c r="Q187" i="7"/>
  <c r="P101" i="7"/>
  <c r="R142" i="7"/>
  <c r="R168" i="7"/>
  <c r="R180" i="7"/>
  <c r="R192" i="7"/>
  <c r="P4" i="7"/>
  <c r="R135" i="7"/>
  <c r="Q80" i="7"/>
  <c r="R138" i="7"/>
  <c r="P10" i="7"/>
  <c r="Q90" i="7"/>
  <c r="Q182" i="7"/>
  <c r="P159" i="7"/>
  <c r="P183" i="7"/>
  <c r="P115" i="7"/>
  <c r="Q113" i="7"/>
  <c r="Q143" i="7"/>
  <c r="P166" i="7"/>
  <c r="P181" i="7"/>
  <c r="Q199" i="7"/>
  <c r="P98" i="7"/>
  <c r="R63" i="7"/>
  <c r="P97" i="7"/>
  <c r="R155" i="7"/>
  <c r="R106" i="7"/>
  <c r="Q61" i="7"/>
  <c r="R120" i="7"/>
  <c r="P62" i="7"/>
  <c r="R50" i="7"/>
  <c r="R38" i="7"/>
  <c r="R26" i="7"/>
  <c r="R13" i="7"/>
  <c r="P94" i="7"/>
  <c r="Q58" i="7"/>
  <c r="Q46" i="7"/>
  <c r="Q34" i="7"/>
  <c r="Q22" i="7"/>
  <c r="R154" i="7"/>
  <c r="Q104" i="7"/>
  <c r="R73" i="7"/>
  <c r="P48" i="7"/>
  <c r="P36" i="7"/>
  <c r="P24" i="7"/>
  <c r="Q12" i="7"/>
  <c r="Q151" i="7"/>
  <c r="Q91" i="7"/>
  <c r="R3" i="7"/>
  <c r="P3" i="7"/>
  <c r="R165" i="7"/>
  <c r="P150" i="7"/>
  <c r="Q160" i="7"/>
  <c r="Q173" i="7"/>
  <c r="Q188" i="7"/>
  <c r="P102" i="7"/>
  <c r="R144" i="7"/>
  <c r="R169" i="7"/>
  <c r="R181" i="7"/>
  <c r="R193" i="7"/>
  <c r="P81" i="7"/>
  <c r="Q136" i="7"/>
  <c r="Q81" i="7"/>
  <c r="R140" i="7"/>
  <c r="Q88" i="7"/>
  <c r="P7" i="7"/>
  <c r="Q193" i="7"/>
  <c r="P191" i="7"/>
  <c r="Q159" i="7"/>
  <c r="P146" i="7"/>
  <c r="Q114" i="7"/>
  <c r="P144" i="7"/>
  <c r="P167" i="7"/>
  <c r="P184" i="7"/>
  <c r="Q3" i="7"/>
  <c r="Q97" i="7"/>
  <c r="P156" i="7"/>
  <c r="Q96" i="7"/>
  <c r="P131" i="7"/>
  <c r="P96" i="7"/>
  <c r="R60" i="7"/>
  <c r="P107" i="7"/>
  <c r="P61" i="7"/>
  <c r="R49" i="7"/>
  <c r="R37" i="7"/>
  <c r="R25" i="7"/>
  <c r="P155" i="7"/>
  <c r="Q93" i="7"/>
  <c r="Q57" i="7"/>
  <c r="Q45" i="7"/>
  <c r="Q33" i="7"/>
  <c r="Q21" i="7"/>
  <c r="R153" i="7"/>
  <c r="R103" i="7"/>
  <c r="R72" i="7"/>
  <c r="P47" i="7"/>
  <c r="P35" i="7"/>
  <c r="P23" i="7"/>
  <c r="Q11" i="7"/>
  <c r="R150" i="7"/>
  <c r="R90" i="7"/>
  <c r="Q8" i="7"/>
  <c r="Q200" i="7"/>
  <c r="P140" i="7"/>
  <c r="Q109" i="7"/>
  <c r="Q189" i="7"/>
  <c r="R170" i="7"/>
  <c r="Q82" i="7"/>
  <c r="Q197" i="7"/>
  <c r="Q145" i="7"/>
  <c r="P132" i="7"/>
  <c r="R56" i="7"/>
  <c r="Q60" i="7"/>
  <c r="R36" i="7"/>
  <c r="P125" i="7"/>
  <c r="R92" i="7"/>
  <c r="Q44" i="7"/>
  <c r="Q32" i="7"/>
  <c r="Q20" i="7"/>
  <c r="P93" i="7"/>
  <c r="P59" i="7"/>
  <c r="P46" i="7"/>
  <c r="P34" i="7"/>
  <c r="P22" i="7"/>
  <c r="P119" i="7"/>
  <c r="P84" i="7"/>
  <c r="Q7" i="7"/>
  <c r="R176" i="7"/>
  <c r="Q184" i="7"/>
  <c r="R132" i="7"/>
  <c r="P149" i="7"/>
  <c r="Q169" i="7"/>
  <c r="R178" i="7"/>
  <c r="P177" i="7"/>
  <c r="P113" i="7"/>
  <c r="R76" i="7"/>
  <c r="Q161" i="7"/>
  <c r="P103" i="7"/>
  <c r="R182" i="7"/>
  <c r="P82" i="7"/>
  <c r="Q201" i="7"/>
  <c r="P175" i="7"/>
  <c r="P8" i="7"/>
  <c r="P143" i="7"/>
  <c r="P186" i="7"/>
  <c r="R96" i="7"/>
  <c r="R95" i="7"/>
  <c r="Q95" i="7"/>
  <c r="Q106" i="7"/>
  <c r="R48" i="7"/>
  <c r="R24" i="7"/>
  <c r="P56" i="7"/>
  <c r="R10" i="7"/>
  <c r="Q162" i="7"/>
  <c r="Q175" i="7"/>
  <c r="Q191" i="7"/>
  <c r="P133" i="7"/>
  <c r="R159" i="7"/>
  <c r="R171" i="7"/>
  <c r="R183" i="7"/>
  <c r="R195" i="7"/>
  <c r="P83" i="7"/>
  <c r="Q138" i="7"/>
  <c r="R98" i="7"/>
  <c r="R4" i="7"/>
  <c r="P90" i="7"/>
  <c r="P185" i="7"/>
  <c r="Q202" i="7"/>
  <c r="Q68" i="7"/>
  <c r="Q67" i="7"/>
  <c r="Q148" i="7"/>
  <c r="P145" i="7"/>
  <c r="R146" i="7"/>
  <c r="P170" i="7"/>
  <c r="P188" i="7"/>
  <c r="Q156" i="7"/>
  <c r="R87" i="7"/>
  <c r="Q131" i="7"/>
  <c r="Q87" i="7"/>
  <c r="Q129" i="7"/>
  <c r="R94" i="7"/>
  <c r="Q155" i="7"/>
  <c r="R105" i="7"/>
  <c r="R59" i="7"/>
  <c r="R47" i="7"/>
  <c r="R35" i="7"/>
  <c r="R23" i="7"/>
  <c r="Q124" i="7"/>
  <c r="P86" i="7"/>
  <c r="Q55" i="7"/>
  <c r="Q43" i="7"/>
  <c r="Q31" i="7"/>
  <c r="Q19" i="7"/>
  <c r="P124" i="7"/>
  <c r="Q92" i="7"/>
  <c r="P58" i="7"/>
  <c r="P45" i="7"/>
  <c r="P33" i="7"/>
  <c r="P21" i="7"/>
  <c r="R9" i="7"/>
  <c r="Q118" i="7"/>
  <c r="Q83" i="7"/>
  <c r="Q6" i="7"/>
  <c r="R188" i="7"/>
  <c r="Q139" i="7"/>
  <c r="P73" i="7"/>
  <c r="Q185" i="7"/>
  <c r="R190" i="7"/>
  <c r="R136" i="7"/>
  <c r="P200" i="7"/>
  <c r="P164" i="7"/>
  <c r="P63" i="7"/>
  <c r="Q174" i="7"/>
  <c r="R158" i="7"/>
  <c r="R194" i="7"/>
  <c r="Q137" i="7"/>
  <c r="P89" i="7"/>
  <c r="Q190" i="7"/>
  <c r="R147" i="7"/>
  <c r="P169" i="7"/>
  <c r="P157" i="7"/>
  <c r="Q130" i="7"/>
  <c r="R151" i="7"/>
  <c r="R109" i="7"/>
  <c r="Q163" i="7"/>
  <c r="Q177" i="7"/>
  <c r="Q192" i="7"/>
  <c r="P134" i="7"/>
  <c r="R160" i="7"/>
  <c r="R172" i="7"/>
  <c r="R184" i="7"/>
  <c r="R196" i="7"/>
  <c r="Q98" i="7"/>
  <c r="R139" i="7"/>
  <c r="R99" i="7"/>
  <c r="R80" i="7"/>
  <c r="P91" i="7"/>
  <c r="P187" i="7"/>
  <c r="P9" i="7"/>
  <c r="P69" i="7"/>
  <c r="R68" i="7"/>
  <c r="R149" i="7"/>
  <c r="Q146" i="7"/>
  <c r="Q157" i="7"/>
  <c r="P171" i="7"/>
  <c r="P190" i="7"/>
  <c r="P147" i="7"/>
  <c r="P80" i="7"/>
  <c r="R130" i="7"/>
  <c r="Q79" i="7"/>
  <c r="P128" i="7"/>
  <c r="P87" i="7"/>
  <c r="P130" i="7"/>
  <c r="P95" i="7"/>
  <c r="R58" i="7"/>
  <c r="R46" i="7"/>
  <c r="R34" i="7"/>
  <c r="R22" i="7"/>
  <c r="Q123" i="7"/>
  <c r="Q85" i="7"/>
  <c r="Q54" i="7"/>
  <c r="Q42" i="7"/>
  <c r="Q30" i="7"/>
  <c r="Q18" i="7"/>
  <c r="P123" i="7"/>
  <c r="R91" i="7"/>
  <c r="P57" i="7"/>
  <c r="P44" i="7"/>
  <c r="P32" i="7"/>
  <c r="P20" i="7"/>
  <c r="R8" i="7"/>
  <c r="Q117" i="7"/>
  <c r="R82" i="7"/>
  <c r="Q5" i="7"/>
  <c r="CG57" i="5"/>
  <c r="DB57" i="5" s="1"/>
  <c r="BC57" i="5"/>
  <c r="CG30" i="5"/>
  <c r="DB30" i="5" s="1"/>
  <c r="BC30" i="5"/>
  <c r="CG20" i="5"/>
  <c r="DB20" i="5" s="1"/>
  <c r="BC20" i="5"/>
  <c r="CG46" i="5"/>
  <c r="DB46" i="5" s="1"/>
  <c r="BC46" i="5"/>
  <c r="CG84" i="5"/>
  <c r="DB84" i="5" s="1"/>
  <c r="BC84" i="5"/>
  <c r="CG66" i="5"/>
  <c r="DB66" i="5" s="1"/>
  <c r="BC66" i="5"/>
  <c r="CG97" i="5"/>
  <c r="DB97" i="5" s="1"/>
  <c r="BC97" i="5"/>
  <c r="CG14" i="5"/>
  <c r="DB14" i="5" s="1"/>
  <c r="BC14" i="5"/>
  <c r="CG16" i="5"/>
  <c r="DB16" i="5" s="1"/>
  <c r="BC16" i="5"/>
  <c r="CG33" i="5"/>
  <c r="DB33" i="5" s="1"/>
  <c r="BC33" i="5"/>
  <c r="CG10" i="5"/>
  <c r="DB10" i="5" s="1"/>
  <c r="BC10" i="5"/>
  <c r="CG72" i="5"/>
  <c r="DB72" i="5" s="1"/>
  <c r="BC72" i="5"/>
  <c r="CG58" i="5"/>
  <c r="DB58" i="5" s="1"/>
  <c r="BC58" i="5"/>
  <c r="CG96" i="5"/>
  <c r="DB96" i="5" s="1"/>
  <c r="BC96" i="5"/>
  <c r="BC102" i="5"/>
  <c r="CG102" i="5"/>
  <c r="DB102" i="5" s="1"/>
  <c r="CG26" i="5"/>
  <c r="DB26" i="5" s="1"/>
  <c r="BC26" i="5"/>
  <c r="CG41" i="5"/>
  <c r="DB41" i="5" s="1"/>
  <c r="BC41" i="5"/>
  <c r="CG28" i="5"/>
  <c r="DB28" i="5" s="1"/>
  <c r="BC28" i="5"/>
  <c r="CG81" i="5"/>
  <c r="DB81" i="5" s="1"/>
  <c r="BC81" i="5"/>
  <c r="CG34" i="5"/>
  <c r="DB34" i="5" s="1"/>
  <c r="BC34" i="5"/>
  <c r="CG44" i="5"/>
  <c r="DB44" i="5" s="1"/>
  <c r="BC44" i="5"/>
  <c r="CG70" i="5"/>
  <c r="DB70" i="5" s="1"/>
  <c r="BC70" i="5"/>
  <c r="CG4" i="5"/>
  <c r="BC4" i="5"/>
  <c r="CG9" i="5"/>
  <c r="DB9" i="5" s="1"/>
  <c r="BC9" i="5"/>
  <c r="CG98" i="5"/>
  <c r="DB98" i="5" s="1"/>
  <c r="BC98" i="5"/>
  <c r="CG42" i="5"/>
  <c r="DB42" i="5" s="1"/>
  <c r="BC42" i="5"/>
  <c r="CG40" i="5"/>
  <c r="DB40" i="5" s="1"/>
  <c r="BC40" i="5"/>
  <c r="CG59" i="5"/>
  <c r="DB59" i="5" s="1"/>
  <c r="BC59" i="5"/>
  <c r="CG91" i="5"/>
  <c r="DB91" i="5" s="1"/>
  <c r="BC91" i="5"/>
  <c r="CG19" i="5"/>
  <c r="DB19" i="5" s="1"/>
  <c r="BC19" i="5"/>
  <c r="CG56" i="5"/>
  <c r="DB56" i="5" s="1"/>
  <c r="BC56" i="5"/>
  <c r="CG82" i="5"/>
  <c r="DB82" i="5" s="1"/>
  <c r="BC82" i="5"/>
  <c r="CG38" i="5"/>
  <c r="DB38" i="5" s="1"/>
  <c r="BC38" i="5"/>
  <c r="CG93" i="5"/>
  <c r="DB93" i="5" s="1"/>
  <c r="BC93" i="5"/>
  <c r="CG5" i="5"/>
  <c r="DB5" i="5" s="1"/>
  <c r="BC5" i="5"/>
  <c r="CG69" i="5"/>
  <c r="DB69" i="5" s="1"/>
  <c r="BC69" i="5"/>
  <c r="CG52" i="5"/>
  <c r="DB52" i="5" s="1"/>
  <c r="BC52" i="5"/>
  <c r="CG23" i="5"/>
  <c r="DB23" i="5" s="1"/>
  <c r="BC23" i="5"/>
  <c r="CG48" i="5"/>
  <c r="DB48" i="5" s="1"/>
  <c r="BC48" i="5"/>
  <c r="CG32" i="5"/>
  <c r="DB32" i="5" s="1"/>
  <c r="BC32" i="5"/>
  <c r="CG31" i="5"/>
  <c r="DB31" i="5" s="1"/>
  <c r="BC31" i="5"/>
  <c r="CG68" i="5"/>
  <c r="DB68" i="5" s="1"/>
  <c r="BC68" i="5"/>
  <c r="CG94" i="5"/>
  <c r="DB94" i="5" s="1"/>
  <c r="BC94" i="5"/>
  <c r="CG50" i="5"/>
  <c r="DB50" i="5" s="1"/>
  <c r="BC50" i="5"/>
  <c r="CG35" i="5"/>
  <c r="DB35" i="5" s="1"/>
  <c r="BC35" i="5"/>
  <c r="CG65" i="5"/>
  <c r="DB65" i="5" s="1"/>
  <c r="BC65" i="5"/>
  <c r="CG15" i="5"/>
  <c r="DB15" i="5" s="1"/>
  <c r="BC15" i="5"/>
  <c r="CG64" i="5"/>
  <c r="DB64" i="5" s="1"/>
  <c r="BC64" i="5"/>
  <c r="CG83" i="5"/>
  <c r="DB83" i="5" s="1"/>
  <c r="BC83" i="5"/>
  <c r="CG55" i="5"/>
  <c r="DB55" i="5" s="1"/>
  <c r="BC55" i="5"/>
  <c r="CG8" i="5"/>
  <c r="DB8" i="5" s="1"/>
  <c r="BC8" i="5"/>
  <c r="CG43" i="5"/>
  <c r="DB43" i="5" s="1"/>
  <c r="BC43" i="5"/>
  <c r="CG80" i="5"/>
  <c r="DB80" i="5" s="1"/>
  <c r="BC80" i="5"/>
  <c r="CG106" i="5"/>
  <c r="DB106" i="5" s="1"/>
  <c r="BC106" i="5"/>
  <c r="CG62" i="5"/>
  <c r="DB62" i="5" s="1"/>
  <c r="BC62" i="5"/>
  <c r="CG13" i="5"/>
  <c r="DB13" i="5" s="1"/>
  <c r="BC13" i="5"/>
  <c r="CG101" i="5"/>
  <c r="DB101" i="5" s="1"/>
  <c r="BC101" i="5"/>
  <c r="CG27" i="5"/>
  <c r="DB27" i="5" s="1"/>
  <c r="BC27" i="5"/>
  <c r="CG76" i="5"/>
  <c r="DB76" i="5" s="1"/>
  <c r="BC76" i="5"/>
  <c r="CG71" i="5"/>
  <c r="DB71" i="5" s="1"/>
  <c r="BC71" i="5"/>
  <c r="CG92" i="5"/>
  <c r="DB92" i="5" s="1"/>
  <c r="BC92" i="5"/>
  <c r="CG74" i="5"/>
  <c r="DB74" i="5" s="1"/>
  <c r="BC74" i="5"/>
  <c r="CG25" i="5"/>
  <c r="DB25" i="5" s="1"/>
  <c r="BC25" i="5"/>
  <c r="CG18" i="5"/>
  <c r="DB18" i="5" s="1"/>
  <c r="BC18" i="5"/>
  <c r="CG39" i="5"/>
  <c r="DB39" i="5" s="1"/>
  <c r="BC39" i="5"/>
  <c r="CG88" i="5"/>
  <c r="DB88" i="5" s="1"/>
  <c r="BC88" i="5"/>
  <c r="CG7" i="5"/>
  <c r="DB7" i="5" s="1"/>
  <c r="BC7" i="5"/>
  <c r="CG11" i="5"/>
  <c r="DB11" i="5" s="1"/>
  <c r="BC11" i="5"/>
  <c r="CG67" i="5"/>
  <c r="DB67" i="5" s="1"/>
  <c r="BC67" i="5"/>
  <c r="CG104" i="5"/>
  <c r="DB104" i="5" s="1"/>
  <c r="BC104" i="5"/>
  <c r="CG24" i="5"/>
  <c r="DB24" i="5" s="1"/>
  <c r="BC24" i="5"/>
  <c r="CG86" i="5"/>
  <c r="DB86" i="5" s="1"/>
  <c r="BC86" i="5"/>
  <c r="CG37" i="5"/>
  <c r="DB37" i="5" s="1"/>
  <c r="BC37" i="5"/>
  <c r="CG54" i="5"/>
  <c r="DB54" i="5" s="1"/>
  <c r="BC54" i="5"/>
  <c r="CG51" i="5"/>
  <c r="DB51" i="5" s="1"/>
  <c r="BC51" i="5"/>
  <c r="BC100" i="5"/>
  <c r="CG100" i="5"/>
  <c r="DB100" i="5" s="1"/>
  <c r="CG45" i="5"/>
  <c r="DB45" i="5" s="1"/>
  <c r="BC45" i="5"/>
  <c r="CG36" i="5"/>
  <c r="DB36" i="5" s="1"/>
  <c r="BC36" i="5"/>
  <c r="CG17" i="5"/>
  <c r="DB17" i="5" s="1"/>
  <c r="BC17" i="5"/>
  <c r="CG49" i="5"/>
  <c r="DB49" i="5" s="1"/>
  <c r="BC49" i="5"/>
  <c r="CG90" i="5"/>
  <c r="DB90" i="5" s="1"/>
  <c r="BC90" i="5"/>
  <c r="CG63" i="5"/>
  <c r="DB63" i="5" s="1"/>
  <c r="BC63" i="5"/>
  <c r="CG29" i="5"/>
  <c r="DB29" i="5" s="1"/>
  <c r="BC29" i="5"/>
  <c r="CG95" i="5"/>
  <c r="DB95" i="5" s="1"/>
  <c r="BC95" i="5"/>
  <c r="CG61" i="5"/>
  <c r="DB61" i="5" s="1"/>
  <c r="BC61" i="5"/>
  <c r="CG21" i="5"/>
  <c r="DB21" i="5" s="1"/>
  <c r="BC21" i="5"/>
  <c r="CG75" i="5"/>
  <c r="DB75" i="5" s="1"/>
  <c r="BC75" i="5"/>
  <c r="CG77" i="5"/>
  <c r="DB77" i="5" s="1"/>
  <c r="BC77" i="5"/>
  <c r="CG107" i="5"/>
  <c r="DB107" i="5" s="1"/>
  <c r="BC107" i="5"/>
  <c r="CG79" i="5"/>
  <c r="DB79" i="5" s="1"/>
  <c r="BC79" i="5"/>
  <c r="CG103" i="5"/>
  <c r="DB103" i="5" s="1"/>
  <c r="BC103" i="5"/>
  <c r="CG22" i="5"/>
  <c r="DB22" i="5" s="1"/>
  <c r="BC22" i="5"/>
  <c r="CG60" i="5"/>
  <c r="DB60" i="5" s="1"/>
  <c r="BC60" i="5"/>
  <c r="CG89" i="5"/>
  <c r="DB89" i="5" s="1"/>
  <c r="BC89" i="5"/>
  <c r="CG73" i="5"/>
  <c r="DB73" i="5" s="1"/>
  <c r="BC73" i="5"/>
  <c r="BC105" i="5"/>
  <c r="CG105" i="5"/>
  <c r="DB105" i="5" s="1"/>
  <c r="BC87" i="5"/>
  <c r="CG87" i="5"/>
  <c r="DB87" i="5" s="1"/>
  <c r="CG6" i="5"/>
  <c r="DB6" i="5" s="1"/>
  <c r="BC6" i="5"/>
  <c r="CG12" i="5"/>
  <c r="DB12" i="5" s="1"/>
  <c r="BC12" i="5"/>
  <c r="CG53" i="5"/>
  <c r="DB53" i="5" s="1"/>
  <c r="BC53" i="5"/>
  <c r="BC85" i="5"/>
  <c r="CG85" i="5"/>
  <c r="DB85" i="5" s="1"/>
  <c r="CG47" i="5"/>
  <c r="DB47" i="5" s="1"/>
  <c r="BC47" i="5"/>
  <c r="CG99" i="5"/>
  <c r="DB99" i="5" s="1"/>
  <c r="BC99" i="5"/>
  <c r="CG78" i="5"/>
  <c r="DB78" i="5" s="1"/>
  <c r="BC78" i="5"/>
  <c r="AB8" i="5"/>
  <c r="AC7" i="5"/>
  <c r="AG10" i="5"/>
  <c r="AF8" i="5"/>
  <c r="AA10" i="5"/>
  <c r="AE9" i="5"/>
  <c r="AD7" i="5"/>
  <c r="DB4" i="5" l="1"/>
  <c r="CG1" i="5"/>
  <c r="DB2" i="5"/>
  <c r="AF9" i="5"/>
  <c r="AG11" i="5"/>
  <c r="AA11" i="5"/>
  <c r="AB9" i="5"/>
  <c r="AE10" i="5"/>
  <c r="AC8" i="5"/>
  <c r="AD8" i="5"/>
  <c r="AG12" i="5" l="1"/>
  <c r="AA12" i="5"/>
  <c r="AD9" i="5"/>
  <c r="AC9" i="5"/>
  <c r="AB10" i="5"/>
  <c r="AF10" i="5"/>
  <c r="AE11" i="5"/>
  <c r="AF11" i="5" l="1"/>
  <c r="AC10" i="5"/>
  <c r="AD10" i="5"/>
  <c r="AA13" i="5"/>
  <c r="AB11" i="5"/>
  <c r="AE12" i="5"/>
  <c r="AG13" i="5"/>
  <c r="AD11" i="5" l="1"/>
  <c r="AF12" i="5"/>
  <c r="AB12" i="5"/>
  <c r="AC11" i="5"/>
  <c r="AG14" i="5"/>
  <c r="AE13" i="5"/>
  <c r="AA14" i="5"/>
  <c r="AE14" i="5" l="1"/>
  <c r="AA15" i="5"/>
  <c r="AF13" i="5"/>
  <c r="AC12" i="5"/>
  <c r="AB13" i="5"/>
  <c r="AD12" i="5"/>
  <c r="AG15" i="5"/>
  <c r="AB14" i="5" l="1"/>
  <c r="AA16" i="5"/>
  <c r="AD13" i="5"/>
  <c r="AC13" i="5"/>
  <c r="AF14" i="5"/>
  <c r="AG16" i="5"/>
  <c r="AE15" i="5"/>
  <c r="AD14" i="5" l="1"/>
  <c r="AG17" i="5"/>
  <c r="AA17" i="5"/>
  <c r="AE16" i="5"/>
  <c r="AB15" i="5"/>
  <c r="AF15" i="5"/>
  <c r="AC14" i="5"/>
  <c r="AC15" i="5" l="1"/>
  <c r="AD15" i="5"/>
  <c r="AA18" i="5"/>
  <c r="AF16" i="5"/>
  <c r="AB16" i="5"/>
  <c r="AG18" i="5"/>
  <c r="AE17" i="5"/>
  <c r="AG19" i="5" l="1"/>
  <c r="AA19" i="5"/>
  <c r="AB17" i="5"/>
  <c r="AF17" i="5"/>
  <c r="AC16" i="5"/>
  <c r="AE18" i="5"/>
  <c r="AD16" i="5"/>
  <c r="AA20" i="5" l="1"/>
  <c r="AF18" i="5"/>
  <c r="AB18" i="5"/>
  <c r="AD17" i="5"/>
  <c r="AE19" i="5"/>
  <c r="AC17" i="5"/>
  <c r="AG20" i="5"/>
  <c r="AC18" i="5" l="1"/>
  <c r="AE20" i="5"/>
  <c r="AD18" i="5"/>
  <c r="AB19" i="5"/>
  <c r="AF19" i="5"/>
  <c r="AG21" i="5"/>
  <c r="AA21" i="5"/>
  <c r="AG22" i="5" l="1"/>
  <c r="AF20" i="5"/>
  <c r="AB20" i="5"/>
  <c r="AD19" i="5"/>
  <c r="AE21" i="5"/>
  <c r="AA22" i="5"/>
  <c r="AC19" i="5"/>
  <c r="AA23" i="5" l="1"/>
  <c r="AE22" i="5"/>
  <c r="AD20" i="5"/>
  <c r="AB21" i="5"/>
  <c r="AF21" i="5"/>
  <c r="AC20" i="5"/>
  <c r="AG23" i="5"/>
  <c r="AC21" i="5" l="1"/>
  <c r="AF22" i="5"/>
  <c r="AB22" i="5"/>
  <c r="AD21" i="5"/>
  <c r="AE23" i="5"/>
  <c r="AG24" i="5"/>
  <c r="AA24" i="5"/>
  <c r="AG25" i="5" l="1"/>
  <c r="AE24" i="5"/>
  <c r="AD22" i="5"/>
  <c r="AB23" i="5"/>
  <c r="AF23" i="5"/>
  <c r="AA25" i="5"/>
  <c r="AC22" i="5"/>
  <c r="AA26" i="5" l="1"/>
  <c r="AF24" i="5"/>
  <c r="AB24" i="5"/>
  <c r="AD23" i="5"/>
  <c r="AE25" i="5"/>
  <c r="AC23" i="5"/>
  <c r="AG26" i="5"/>
  <c r="AC24" i="5" l="1"/>
  <c r="AE26" i="5"/>
  <c r="AD24" i="5"/>
  <c r="AB25" i="5"/>
  <c r="AF25" i="5"/>
  <c r="AA27" i="5"/>
  <c r="AG27" i="5"/>
  <c r="AA28" i="5" l="1"/>
  <c r="AF26" i="5"/>
  <c r="AB26" i="5"/>
  <c r="AD25" i="5"/>
  <c r="AE27" i="5"/>
  <c r="AG28" i="5"/>
  <c r="AC25" i="5"/>
  <c r="AG29" i="5" l="1"/>
  <c r="AE28" i="5"/>
  <c r="AD26" i="5"/>
  <c r="AB27" i="5"/>
  <c r="AF27" i="5"/>
  <c r="AC26" i="5"/>
  <c r="AA29" i="5"/>
  <c r="AC27" i="5" l="1"/>
  <c r="AF28" i="5"/>
  <c r="AB28" i="5"/>
  <c r="AD27" i="5"/>
  <c r="AE29" i="5"/>
  <c r="AA30" i="5"/>
  <c r="AG30" i="5"/>
  <c r="AB29" i="5" l="1"/>
  <c r="AD28" i="5"/>
  <c r="AF29" i="5"/>
  <c r="AA31" i="5"/>
  <c r="AG31" i="5"/>
  <c r="AE30" i="5"/>
  <c r="AC28" i="5"/>
  <c r="AA32" i="5" l="1"/>
  <c r="AD29" i="5"/>
  <c r="AE31" i="5"/>
  <c r="AG32" i="5"/>
  <c r="AF30" i="5"/>
  <c r="AC29" i="5"/>
  <c r="AB30" i="5"/>
  <c r="AC30" i="5" l="1"/>
  <c r="AG33" i="5"/>
  <c r="AF31" i="5"/>
  <c r="AE32" i="5"/>
  <c r="AD30" i="5"/>
  <c r="AB31" i="5"/>
  <c r="AA33" i="5"/>
  <c r="AD31" i="5" l="1"/>
  <c r="AF32" i="5"/>
  <c r="AB32" i="5"/>
  <c r="AE33" i="5"/>
  <c r="AG34" i="5"/>
  <c r="AA34" i="5"/>
  <c r="AC31" i="5"/>
  <c r="AB33" i="5" l="1"/>
  <c r="AA35" i="5"/>
  <c r="AG35" i="5"/>
  <c r="AE34" i="5"/>
  <c r="AF33" i="5"/>
  <c r="AC32" i="5"/>
  <c r="AD32" i="5"/>
  <c r="AC33" i="5" l="1"/>
  <c r="AF34" i="5"/>
  <c r="AE35" i="5"/>
  <c r="AG36" i="5"/>
  <c r="AA36" i="5"/>
  <c r="AD33" i="5"/>
  <c r="AB34" i="5"/>
  <c r="AD34" i="5" l="1"/>
  <c r="AG37" i="5"/>
  <c r="AA37" i="5"/>
  <c r="AF35" i="5"/>
  <c r="AE36" i="5"/>
  <c r="AB35" i="5"/>
  <c r="AC34" i="5"/>
  <c r="AF36" i="5" l="1"/>
  <c r="AE37" i="5"/>
  <c r="AG38" i="5"/>
  <c r="AD35" i="5"/>
  <c r="AB36" i="5"/>
  <c r="AA38" i="5"/>
  <c r="AC35" i="5"/>
  <c r="AE38" i="5" l="1"/>
  <c r="AA39" i="5"/>
  <c r="AD36" i="5"/>
  <c r="AG39" i="5"/>
  <c r="AB37" i="5"/>
  <c r="AC36" i="5"/>
  <c r="AF37" i="5"/>
  <c r="AD37" i="5" l="1"/>
  <c r="AB38" i="5"/>
  <c r="AC37" i="5"/>
  <c r="AG40" i="5"/>
  <c r="AA40" i="5"/>
  <c r="AF38" i="5"/>
  <c r="AE39" i="5"/>
  <c r="AG41" i="5" l="1"/>
  <c r="AA41" i="5"/>
  <c r="AC38" i="5"/>
  <c r="AD38" i="5"/>
  <c r="AF39" i="5"/>
  <c r="AB39" i="5"/>
  <c r="AE40" i="5"/>
  <c r="AB40" i="5" l="1"/>
  <c r="AF40" i="5"/>
  <c r="AD39" i="5"/>
  <c r="AC39" i="5"/>
  <c r="AA42" i="5"/>
  <c r="AE41" i="5"/>
  <c r="AG42" i="5"/>
  <c r="AA43" i="5" l="1"/>
  <c r="AF41" i="5"/>
  <c r="AE42" i="5"/>
  <c r="AD40" i="5"/>
  <c r="AB41" i="5"/>
  <c r="AC40" i="5"/>
  <c r="AG43" i="5"/>
  <c r="AB42" i="5" l="1"/>
  <c r="AF42" i="5"/>
  <c r="AC41" i="5"/>
  <c r="AE43" i="5"/>
  <c r="AD41" i="5"/>
  <c r="AG44" i="5"/>
  <c r="AA44" i="5"/>
  <c r="AD42" i="5" l="1"/>
  <c r="AG45" i="5"/>
  <c r="AF43" i="5"/>
  <c r="AE44" i="5"/>
  <c r="AC42" i="5"/>
  <c r="AA45" i="5"/>
  <c r="AB43" i="5"/>
  <c r="AE45" i="5" l="1"/>
  <c r="AG46" i="5"/>
  <c r="AA46" i="5"/>
  <c r="AC43" i="5"/>
  <c r="AD43" i="5"/>
  <c r="AF44" i="5"/>
  <c r="AB44" i="5"/>
  <c r="AD44" i="5" l="1"/>
  <c r="AA47" i="5"/>
  <c r="AG47" i="5"/>
  <c r="AF45" i="5"/>
  <c r="AC44" i="5"/>
  <c r="AB45" i="5"/>
  <c r="AE46" i="5"/>
  <c r="AB46" i="5" l="1"/>
  <c r="AF46" i="5"/>
  <c r="AG48" i="5"/>
  <c r="AA48" i="5"/>
  <c r="AC45" i="5"/>
  <c r="AE47" i="5"/>
  <c r="AD45" i="5"/>
  <c r="AE48" i="5" l="1"/>
  <c r="AC46" i="5"/>
  <c r="AA49" i="5"/>
  <c r="AG49" i="5"/>
  <c r="AF47" i="5"/>
  <c r="AD46" i="5"/>
  <c r="AB47" i="5"/>
  <c r="AD47" i="5" l="1"/>
  <c r="AG50" i="5"/>
  <c r="AF48" i="5"/>
  <c r="AA50" i="5"/>
  <c r="AC47" i="5"/>
  <c r="AB48" i="5"/>
  <c r="AE49" i="5"/>
  <c r="AB49" i="5" l="1"/>
  <c r="AC48" i="5"/>
  <c r="AA51" i="5"/>
  <c r="AF49" i="5"/>
  <c r="AG51" i="5"/>
  <c r="AE50" i="5"/>
  <c r="AD48" i="5"/>
  <c r="AG52" i="5" l="1"/>
  <c r="AA52" i="5"/>
  <c r="AE51" i="5"/>
  <c r="AC49" i="5"/>
  <c r="AF50" i="5"/>
  <c r="AD49" i="5"/>
  <c r="AB50" i="5"/>
  <c r="AD50" i="5" l="1"/>
  <c r="AC50" i="5"/>
  <c r="AA53" i="5"/>
  <c r="AE52" i="5"/>
  <c r="AF51" i="5"/>
  <c r="AB51" i="5"/>
  <c r="AG53" i="5"/>
  <c r="AF52" i="5" l="1"/>
  <c r="AA54" i="5"/>
  <c r="AC51" i="5"/>
  <c r="AB52" i="5"/>
  <c r="AG54" i="5"/>
  <c r="AD51" i="5"/>
  <c r="AE53" i="5"/>
  <c r="AG55" i="5" l="1"/>
  <c r="AC52" i="5"/>
  <c r="AA55" i="5"/>
  <c r="AB53" i="5"/>
  <c r="AE54" i="5"/>
  <c r="AD52" i="5"/>
  <c r="AF53" i="5"/>
  <c r="AB54" i="5" l="1"/>
  <c r="AD53" i="5"/>
  <c r="AA56" i="5"/>
  <c r="AC53" i="5"/>
  <c r="AE55" i="5"/>
  <c r="AF54" i="5"/>
  <c r="AG56" i="5"/>
  <c r="AA57" i="5" l="1"/>
  <c r="AD54" i="5"/>
  <c r="AF55" i="5"/>
  <c r="AE56" i="5"/>
  <c r="AC54" i="5"/>
  <c r="AG57" i="5"/>
  <c r="AB55" i="5"/>
  <c r="AE57" i="5" l="1"/>
  <c r="AG58" i="5"/>
  <c r="AD55" i="5"/>
  <c r="AC55" i="5"/>
  <c r="AF56" i="5"/>
  <c r="AB56" i="5"/>
  <c r="AA58" i="5"/>
  <c r="AB57" i="5" l="1"/>
  <c r="AD56" i="5"/>
  <c r="AG59" i="5"/>
  <c r="AF57" i="5"/>
  <c r="AC56" i="5"/>
  <c r="AA59" i="5"/>
  <c r="AE58" i="5"/>
  <c r="AC57" i="5" l="1"/>
  <c r="AD57" i="5"/>
  <c r="AA60" i="5"/>
  <c r="AF58" i="5"/>
  <c r="AG60" i="5"/>
  <c r="AE59" i="5"/>
  <c r="AB58" i="5"/>
  <c r="AE60" i="5" l="1"/>
  <c r="AG61" i="5"/>
  <c r="AF59" i="5"/>
  <c r="AA61" i="5"/>
  <c r="AD58" i="5"/>
  <c r="AB59" i="5"/>
  <c r="AC58" i="5"/>
  <c r="AB60" i="5" l="1"/>
  <c r="AD59" i="5"/>
  <c r="AA62" i="5"/>
  <c r="AF60" i="5"/>
  <c r="AG62" i="5"/>
  <c r="AC59" i="5"/>
  <c r="AE61" i="5"/>
  <c r="AC60" i="5" l="1"/>
  <c r="AG63" i="5"/>
  <c r="AF61" i="5"/>
  <c r="AA63" i="5"/>
  <c r="AD60" i="5"/>
  <c r="AE62" i="5"/>
  <c r="AB61" i="5"/>
  <c r="AE63" i="5" l="1"/>
  <c r="AD61" i="5"/>
  <c r="AA64" i="5"/>
  <c r="AF62" i="5"/>
  <c r="AG64" i="5"/>
  <c r="AB62" i="5"/>
  <c r="AC61" i="5"/>
  <c r="AB63" i="5" l="1"/>
  <c r="AG65" i="5"/>
  <c r="AF63" i="5"/>
  <c r="AA65" i="5"/>
  <c r="AD62" i="5"/>
  <c r="AE64" i="5"/>
  <c r="AC62" i="5"/>
  <c r="AE65" i="5" l="1"/>
  <c r="AD63" i="5"/>
  <c r="AA66" i="5"/>
  <c r="AF64" i="5"/>
  <c r="AG66" i="5"/>
  <c r="AC63" i="5"/>
  <c r="AB64" i="5"/>
  <c r="AC64" i="5" l="1"/>
  <c r="AG67" i="5"/>
  <c r="AF65" i="5"/>
  <c r="AA67" i="5"/>
  <c r="AD64" i="5"/>
  <c r="AB65" i="5"/>
  <c r="AE66" i="5"/>
  <c r="AB66" i="5" l="1"/>
  <c r="AD65" i="5"/>
  <c r="AA68" i="5"/>
  <c r="AF66" i="5"/>
  <c r="AG68" i="5"/>
  <c r="AE67" i="5"/>
  <c r="AC65" i="5"/>
  <c r="AE68" i="5" l="1"/>
  <c r="AG69" i="5"/>
  <c r="AF67" i="5"/>
  <c r="AA69" i="5"/>
  <c r="AD66" i="5"/>
  <c r="AC66" i="5"/>
  <c r="AB67" i="5"/>
  <c r="AC67" i="5" l="1"/>
  <c r="AD67" i="5"/>
  <c r="AA70" i="5"/>
  <c r="AF68" i="5"/>
  <c r="AG70" i="5"/>
  <c r="AB68" i="5"/>
  <c r="AE69" i="5"/>
  <c r="AB69" i="5" l="1"/>
  <c r="AG71" i="5"/>
  <c r="AF69" i="5"/>
  <c r="AA71" i="5"/>
  <c r="AD68" i="5"/>
  <c r="AE70" i="5"/>
  <c r="AC68" i="5"/>
  <c r="AE71" i="5" l="1"/>
  <c r="AD69" i="5"/>
  <c r="AA72" i="5"/>
  <c r="AF70" i="5"/>
  <c r="AG72" i="5"/>
  <c r="AC69" i="5"/>
  <c r="AB70" i="5"/>
  <c r="AC70" i="5" l="1"/>
  <c r="AG73" i="5"/>
  <c r="AF71" i="5"/>
  <c r="AA73" i="5"/>
  <c r="AD70" i="5"/>
  <c r="AB71" i="5"/>
  <c r="AE72" i="5"/>
  <c r="AB72" i="5" l="1"/>
  <c r="AD71" i="5"/>
  <c r="AA74" i="5"/>
  <c r="AF72" i="5"/>
  <c r="AG74" i="5"/>
  <c r="AE73" i="5"/>
  <c r="AC71" i="5"/>
  <c r="AE74" i="5" l="1"/>
  <c r="AG75" i="5"/>
  <c r="AF73" i="5"/>
  <c r="AA75" i="5"/>
  <c r="AD72" i="5"/>
  <c r="AB73" i="5"/>
  <c r="AC72" i="5"/>
  <c r="AB74" i="5" l="1"/>
  <c r="AD73" i="5"/>
  <c r="AA76" i="5"/>
  <c r="AF74" i="5"/>
  <c r="AG76" i="5"/>
  <c r="AC73" i="5"/>
  <c r="AE75" i="5"/>
  <c r="AC74" i="5" l="1"/>
  <c r="AG77" i="5"/>
  <c r="AF75" i="5"/>
  <c r="AA77" i="5"/>
  <c r="AD74" i="5"/>
  <c r="AB75" i="5"/>
  <c r="AE76" i="5"/>
  <c r="AB76" i="5" l="1"/>
  <c r="AD75" i="5"/>
  <c r="AA78" i="5"/>
  <c r="AF76" i="5"/>
  <c r="AG78" i="5"/>
  <c r="AE77" i="5"/>
  <c r="AC75" i="5"/>
  <c r="AE78" i="5" l="1"/>
  <c r="AG79" i="5"/>
  <c r="AF77" i="5"/>
  <c r="AA79" i="5"/>
  <c r="AD76" i="5"/>
  <c r="AC76" i="5"/>
  <c r="AB77" i="5"/>
  <c r="AC77" i="5" l="1"/>
  <c r="AD77" i="5"/>
  <c r="AA80" i="5"/>
  <c r="AF78" i="5"/>
  <c r="AG80" i="5"/>
  <c r="AB78" i="5"/>
  <c r="AE79" i="5"/>
  <c r="AB79" i="5" l="1"/>
  <c r="AG81" i="5"/>
  <c r="AF79" i="5"/>
  <c r="AA81" i="5"/>
  <c r="AD78" i="5"/>
  <c r="AE80" i="5"/>
  <c r="AC78" i="5"/>
  <c r="AE81" i="5" l="1"/>
  <c r="AD79" i="5"/>
  <c r="AA82" i="5"/>
  <c r="AF80" i="5"/>
  <c r="AG82" i="5"/>
  <c r="AC79" i="5"/>
  <c r="AB80" i="5"/>
  <c r="AC80" i="5" l="1"/>
  <c r="AG83" i="5"/>
  <c r="AF81" i="5"/>
  <c r="AA83" i="5"/>
  <c r="AD80" i="5"/>
  <c r="AB81" i="5"/>
  <c r="AE82" i="5"/>
  <c r="AB82" i="5" l="1"/>
  <c r="AD81" i="5"/>
  <c r="AA84" i="5"/>
  <c r="AF82" i="5"/>
  <c r="AG84" i="5"/>
  <c r="AE83" i="5"/>
  <c r="AC81" i="5"/>
  <c r="AE84" i="5" l="1"/>
  <c r="AG85" i="5"/>
  <c r="AF83" i="5"/>
  <c r="AA85" i="5"/>
  <c r="AD82" i="5"/>
  <c r="AC82" i="5"/>
  <c r="AB83" i="5"/>
  <c r="AC83" i="5" l="1"/>
  <c r="AD83" i="5"/>
  <c r="AA86" i="5"/>
  <c r="AF84" i="5"/>
  <c r="AG86" i="5"/>
  <c r="AB84" i="5"/>
  <c r="AE85" i="5"/>
  <c r="AB85" i="5" l="1"/>
  <c r="AG87" i="5"/>
  <c r="AF85" i="5"/>
  <c r="AA87" i="5"/>
  <c r="AD84" i="5"/>
  <c r="AE86" i="5"/>
  <c r="AC84" i="5"/>
  <c r="AE87" i="5" l="1"/>
  <c r="AD85" i="5"/>
  <c r="AA88" i="5"/>
  <c r="AF86" i="5"/>
  <c r="AG88" i="5"/>
  <c r="AC85" i="5"/>
  <c r="AB86" i="5"/>
  <c r="AC86" i="5" l="1"/>
  <c r="AG89" i="5"/>
  <c r="AF87" i="5"/>
  <c r="AA89" i="5"/>
  <c r="AD86" i="5"/>
  <c r="AB87" i="5"/>
  <c r="AE88" i="5"/>
  <c r="AB88" i="5" l="1"/>
  <c r="AD87" i="5"/>
  <c r="AA90" i="5"/>
  <c r="AF88" i="5"/>
  <c r="AG90" i="5"/>
  <c r="AE89" i="5"/>
  <c r="AC87" i="5"/>
  <c r="AE90" i="5" l="1"/>
  <c r="AG91" i="5"/>
  <c r="AF89" i="5"/>
  <c r="AA91" i="5"/>
  <c r="AD88" i="5"/>
  <c r="AC88" i="5"/>
  <c r="AB89" i="5"/>
  <c r="AC89" i="5" l="1"/>
  <c r="AD89" i="5"/>
  <c r="AA92" i="5"/>
  <c r="AF90" i="5"/>
  <c r="AG92" i="5"/>
  <c r="AB90" i="5"/>
  <c r="AE91" i="5"/>
  <c r="AB91" i="5" l="1"/>
  <c r="AG93" i="5"/>
  <c r="AF91" i="5"/>
  <c r="AA93" i="5"/>
  <c r="AD90" i="5"/>
  <c r="AE92" i="5"/>
  <c r="AC90" i="5"/>
  <c r="AE93" i="5" l="1"/>
  <c r="AD91" i="5"/>
  <c r="AA94" i="5"/>
  <c r="AF92" i="5"/>
  <c r="AG94" i="5"/>
  <c r="AC91" i="5"/>
  <c r="AB92" i="5"/>
  <c r="AC92" i="5" l="1"/>
  <c r="AG95" i="5"/>
  <c r="AF93" i="5"/>
  <c r="AA95" i="5"/>
  <c r="AD92" i="5"/>
  <c r="AB93" i="5"/>
  <c r="AE94" i="5"/>
  <c r="AB94" i="5" l="1"/>
  <c r="AD93" i="5"/>
  <c r="AA96" i="5"/>
  <c r="AF94" i="5"/>
  <c r="AG96" i="5"/>
  <c r="AE95" i="5"/>
  <c r="AC93" i="5"/>
  <c r="AE96" i="5" l="1"/>
  <c r="AG97" i="5"/>
  <c r="AF95" i="5"/>
  <c r="AA97" i="5"/>
  <c r="AD94" i="5"/>
  <c r="AC94" i="5"/>
  <c r="AB95" i="5"/>
  <c r="AC95" i="5" l="1"/>
  <c r="AD95" i="5"/>
  <c r="AA98" i="5"/>
  <c r="AF96" i="5"/>
  <c r="AG98" i="5"/>
  <c r="AB96" i="5"/>
  <c r="AE97" i="5"/>
  <c r="AB97" i="5" l="1"/>
  <c r="AG99" i="5"/>
  <c r="AF97" i="5"/>
  <c r="AA99" i="5"/>
  <c r="AD96" i="5"/>
  <c r="AE98" i="5"/>
  <c r="AC96" i="5"/>
  <c r="AE99" i="5" l="1"/>
  <c r="AD97" i="5"/>
  <c r="AA100" i="5"/>
  <c r="AF98" i="5"/>
  <c r="AG100" i="5"/>
  <c r="AC97" i="5"/>
  <c r="AB98" i="5"/>
  <c r="AC98" i="5" l="1"/>
  <c r="AG101" i="5"/>
  <c r="AF99" i="5"/>
  <c r="AA101" i="5"/>
  <c r="AD98" i="5"/>
  <c r="AE100" i="5"/>
  <c r="AB99" i="5"/>
  <c r="AE101" i="5" l="1"/>
  <c r="AD99" i="5"/>
  <c r="AA102" i="5"/>
  <c r="AF100" i="5"/>
  <c r="AG102" i="5"/>
  <c r="AB100" i="5"/>
  <c r="AC99" i="5"/>
  <c r="AB101" i="5" l="1"/>
  <c r="AG103" i="5"/>
  <c r="AF101" i="5"/>
  <c r="AA103" i="5"/>
  <c r="AD100" i="5"/>
  <c r="AC100" i="5"/>
  <c r="AE102" i="5"/>
  <c r="AC101" i="5" l="1"/>
  <c r="AD101" i="5"/>
  <c r="AA104" i="5"/>
  <c r="AF102" i="5"/>
  <c r="AG104" i="5"/>
  <c r="AE103" i="5"/>
  <c r="AB102" i="5"/>
  <c r="AE104" i="5" l="1"/>
  <c r="AG105" i="5"/>
  <c r="AF103" i="5"/>
  <c r="AA105" i="5"/>
  <c r="AD102" i="5"/>
  <c r="AB103" i="5"/>
  <c r="AC102" i="5"/>
  <c r="AB104" i="5" l="1"/>
  <c r="AD103" i="5"/>
  <c r="AA106" i="5"/>
  <c r="AF104" i="5"/>
  <c r="AG106" i="5"/>
  <c r="AC103" i="5"/>
  <c r="AE105" i="5"/>
  <c r="AC104" i="5" l="1"/>
  <c r="AG107" i="5"/>
  <c r="AF105" i="5"/>
  <c r="AA107" i="5"/>
  <c r="AD104" i="5"/>
  <c r="AB105" i="5"/>
  <c r="AE106" i="5"/>
  <c r="AB106" i="5" l="1"/>
  <c r="AD105" i="5"/>
  <c r="AI87" i="5"/>
  <c r="AQ87" i="5" s="1"/>
  <c r="AI17" i="5"/>
  <c r="AQ17" i="5" s="1"/>
  <c r="AI7" i="5"/>
  <c r="AQ7" i="5" s="1"/>
  <c r="AI105" i="5"/>
  <c r="AQ105" i="5" s="1"/>
  <c r="AI84" i="5"/>
  <c r="AQ84" i="5" s="1"/>
  <c r="AI33" i="5"/>
  <c r="AQ33" i="5" s="1"/>
  <c r="AI82" i="5"/>
  <c r="AQ82" i="5" s="1"/>
  <c r="AI54" i="5"/>
  <c r="AQ54" i="5" s="1"/>
  <c r="AI22" i="5"/>
  <c r="AQ22" i="5" s="1"/>
  <c r="AI10" i="5"/>
  <c r="AQ10" i="5" s="1"/>
  <c r="AI26" i="5"/>
  <c r="AQ26" i="5" s="1"/>
  <c r="AI66" i="5"/>
  <c r="AQ66" i="5" s="1"/>
  <c r="AI67" i="5"/>
  <c r="AQ67" i="5" s="1"/>
  <c r="AI58" i="5"/>
  <c r="AQ58" i="5" s="1"/>
  <c r="AI15" i="5"/>
  <c r="AQ15" i="5" s="1"/>
  <c r="AI100" i="5"/>
  <c r="AQ100" i="5" s="1"/>
  <c r="AI86" i="5"/>
  <c r="AQ86" i="5" s="1"/>
  <c r="AI65" i="5"/>
  <c r="AQ65" i="5" s="1"/>
  <c r="AI77" i="5"/>
  <c r="AQ77" i="5" s="1"/>
  <c r="AI98" i="5"/>
  <c r="AQ98" i="5" s="1"/>
  <c r="AI70" i="5"/>
  <c r="AQ70" i="5" s="1"/>
  <c r="AI80" i="5"/>
  <c r="AQ80" i="5" s="1"/>
  <c r="AI64" i="5"/>
  <c r="AQ64" i="5" s="1"/>
  <c r="AI28" i="5"/>
  <c r="AQ28" i="5" s="1"/>
  <c r="AI31" i="5"/>
  <c r="AQ31" i="5" s="1"/>
  <c r="AI42" i="5"/>
  <c r="AQ42" i="5" s="1"/>
  <c r="AI49" i="5"/>
  <c r="AQ49" i="5" s="1"/>
  <c r="AI14" i="5"/>
  <c r="AQ14" i="5" s="1"/>
  <c r="AI104" i="5"/>
  <c r="AQ104" i="5" s="1"/>
  <c r="AI34" i="5"/>
  <c r="AQ34" i="5" s="1"/>
  <c r="AI12" i="5"/>
  <c r="AQ12" i="5" s="1"/>
  <c r="AI83" i="5"/>
  <c r="AQ83" i="5" s="1"/>
  <c r="AI75" i="5"/>
  <c r="AQ75" i="5" s="1"/>
  <c r="AI69" i="5"/>
  <c r="AQ69" i="5" s="1"/>
  <c r="AI25" i="5"/>
  <c r="AQ25" i="5" s="1"/>
  <c r="AI53" i="5"/>
  <c r="AQ53" i="5" s="1"/>
  <c r="AI45" i="5"/>
  <c r="AQ45" i="5" s="1"/>
  <c r="AI57" i="5"/>
  <c r="AQ57" i="5" s="1"/>
  <c r="AI35" i="5"/>
  <c r="AQ35" i="5" s="1"/>
  <c r="AI47" i="5"/>
  <c r="AQ47" i="5" s="1"/>
  <c r="AI107" i="5"/>
  <c r="AQ107" i="5" s="1"/>
  <c r="AI68" i="5"/>
  <c r="AQ68" i="5" s="1"/>
  <c r="AI38" i="5"/>
  <c r="AQ38" i="5" s="1"/>
  <c r="AI13" i="5"/>
  <c r="AQ13" i="5" s="1"/>
  <c r="AI19" i="5"/>
  <c r="AQ19" i="5" s="1"/>
  <c r="AI56" i="5"/>
  <c r="AQ56" i="5" s="1"/>
  <c r="AI32" i="5"/>
  <c r="AQ32" i="5" s="1"/>
  <c r="AI95" i="5"/>
  <c r="AQ95" i="5" s="1"/>
  <c r="AI79" i="5"/>
  <c r="AQ79" i="5" s="1"/>
  <c r="AI60" i="5"/>
  <c r="AQ60" i="5" s="1"/>
  <c r="AI20" i="5"/>
  <c r="AQ20" i="5" s="1"/>
  <c r="AI51" i="5"/>
  <c r="AQ51" i="5" s="1"/>
  <c r="AI90" i="5"/>
  <c r="AQ90" i="5" s="1"/>
  <c r="AI78" i="5"/>
  <c r="AQ78" i="5" s="1"/>
  <c r="AI63" i="5"/>
  <c r="AQ63" i="5" s="1"/>
  <c r="AI8" i="5"/>
  <c r="AQ8" i="5" s="1"/>
  <c r="AI72" i="5"/>
  <c r="AQ72" i="5" s="1"/>
  <c r="AI74" i="5"/>
  <c r="AQ74" i="5" s="1"/>
  <c r="AI59" i="5"/>
  <c r="AQ59" i="5" s="1"/>
  <c r="AI18" i="5"/>
  <c r="AQ18" i="5" s="1"/>
  <c r="AI29" i="5"/>
  <c r="AQ29" i="5" s="1"/>
  <c r="AI4" i="5"/>
  <c r="AQ4" i="5" s="1"/>
  <c r="AI16" i="5"/>
  <c r="AQ16" i="5" s="1"/>
  <c r="AI41" i="5"/>
  <c r="AQ41" i="5" s="1"/>
  <c r="AI11" i="5"/>
  <c r="AQ11" i="5" s="1"/>
  <c r="AI94" i="5"/>
  <c r="AQ94" i="5" s="1"/>
  <c r="AI27" i="5"/>
  <c r="AQ27" i="5" s="1"/>
  <c r="AI5" i="5"/>
  <c r="AQ5" i="5" s="1"/>
  <c r="AI40" i="5"/>
  <c r="AQ40" i="5" s="1"/>
  <c r="AI73" i="5"/>
  <c r="AQ73" i="5" s="1"/>
  <c r="AI62" i="5"/>
  <c r="AQ62" i="5" s="1"/>
  <c r="AI76" i="5"/>
  <c r="AQ76" i="5" s="1"/>
  <c r="AI39" i="5"/>
  <c r="AQ39" i="5" s="1"/>
  <c r="AI99" i="5"/>
  <c r="AQ99" i="5" s="1"/>
  <c r="AI37" i="5"/>
  <c r="AQ37" i="5" s="1"/>
  <c r="AI93" i="5"/>
  <c r="AQ93" i="5" s="1"/>
  <c r="AI85" i="5"/>
  <c r="AQ85" i="5" s="1"/>
  <c r="AI92" i="5"/>
  <c r="AQ92" i="5" s="1"/>
  <c r="AI36" i="5"/>
  <c r="AQ36" i="5" s="1"/>
  <c r="AI52" i="5"/>
  <c r="AQ52" i="5" s="1"/>
  <c r="AI24" i="5"/>
  <c r="AQ24" i="5" s="1"/>
  <c r="AI106" i="5"/>
  <c r="AQ106" i="5" s="1"/>
  <c r="AI88" i="5"/>
  <c r="AQ88" i="5" s="1"/>
  <c r="AI23" i="5"/>
  <c r="AQ23" i="5" s="1"/>
  <c r="AI6" i="5"/>
  <c r="AQ6" i="5" s="1"/>
  <c r="AI97" i="5"/>
  <c r="AQ97" i="5" s="1"/>
  <c r="AI102" i="5"/>
  <c r="AQ102" i="5" s="1"/>
  <c r="AI96" i="5"/>
  <c r="AQ96" i="5" s="1"/>
  <c r="AI103" i="5"/>
  <c r="AQ103" i="5" s="1"/>
  <c r="AI44" i="5"/>
  <c r="AQ44" i="5" s="1"/>
  <c r="AI9" i="5"/>
  <c r="AQ9" i="5" s="1"/>
  <c r="AI81" i="5"/>
  <c r="AQ81" i="5" s="1"/>
  <c r="AI50" i="5"/>
  <c r="AQ50" i="5" s="1"/>
  <c r="AI71" i="5"/>
  <c r="AQ71" i="5" s="1"/>
  <c r="AI48" i="5"/>
  <c r="AQ48" i="5" s="1"/>
  <c r="AI91" i="5"/>
  <c r="AQ91" i="5" s="1"/>
  <c r="AI61" i="5"/>
  <c r="AQ61" i="5" s="1"/>
  <c r="AI30" i="5"/>
  <c r="AQ30" i="5" s="1"/>
  <c r="AI55" i="5"/>
  <c r="AQ55" i="5" s="1"/>
  <c r="AI101" i="5"/>
  <c r="AQ101" i="5" s="1"/>
  <c r="AI89" i="5"/>
  <c r="AQ89" i="5" s="1"/>
  <c r="AI46" i="5"/>
  <c r="AQ46" i="5" s="1"/>
  <c r="AI43" i="5"/>
  <c r="AQ43" i="5" s="1"/>
  <c r="AI21" i="5"/>
  <c r="AQ21" i="5" s="1"/>
  <c r="AF106" i="5"/>
  <c r="AO20" i="5"/>
  <c r="AW20" i="5" s="1"/>
  <c r="AO86" i="5"/>
  <c r="AW86" i="5" s="1"/>
  <c r="AO90" i="5"/>
  <c r="AW90" i="5" s="1"/>
  <c r="AO89" i="5"/>
  <c r="AW89" i="5" s="1"/>
  <c r="AO68" i="5"/>
  <c r="AW68" i="5" s="1"/>
  <c r="AO26" i="5"/>
  <c r="AW26" i="5" s="1"/>
  <c r="AO36" i="5"/>
  <c r="AW36" i="5" s="1"/>
  <c r="AO23" i="5"/>
  <c r="AW23" i="5" s="1"/>
  <c r="AO75" i="5"/>
  <c r="AW75" i="5" s="1"/>
  <c r="AO73" i="5"/>
  <c r="AW73" i="5" s="1"/>
  <c r="AO35" i="5"/>
  <c r="AW35" i="5" s="1"/>
  <c r="AO78" i="5"/>
  <c r="AW78" i="5" s="1"/>
  <c r="AO81" i="5"/>
  <c r="AW81" i="5" s="1"/>
  <c r="AO94" i="5"/>
  <c r="AW94" i="5" s="1"/>
  <c r="AO63" i="5"/>
  <c r="AW63" i="5" s="1"/>
  <c r="AO48" i="5"/>
  <c r="AW48" i="5" s="1"/>
  <c r="AO40" i="5"/>
  <c r="AW40" i="5" s="1"/>
  <c r="AO6" i="5"/>
  <c r="AW6" i="5" s="1"/>
  <c r="AO42" i="5"/>
  <c r="AW42" i="5" s="1"/>
  <c r="AO102" i="5"/>
  <c r="AW102" i="5" s="1"/>
  <c r="AO10" i="5"/>
  <c r="AW10" i="5" s="1"/>
  <c r="AO11" i="5"/>
  <c r="AW11" i="5" s="1"/>
  <c r="AO16" i="5"/>
  <c r="AW16" i="5" s="1"/>
  <c r="AO79" i="5"/>
  <c r="AW79" i="5" s="1"/>
  <c r="AO28" i="5"/>
  <c r="AW28" i="5" s="1"/>
  <c r="AO87" i="5"/>
  <c r="AW87" i="5" s="1"/>
  <c r="AO14" i="5"/>
  <c r="AW14" i="5" s="1"/>
  <c r="AO24" i="5"/>
  <c r="AW24" i="5" s="1"/>
  <c r="AO59" i="5"/>
  <c r="AW59" i="5" s="1"/>
  <c r="AO33" i="5"/>
  <c r="AW33" i="5" s="1"/>
  <c r="AO105" i="5"/>
  <c r="AW105" i="5" s="1"/>
  <c r="AO96" i="5"/>
  <c r="AW96" i="5" s="1"/>
  <c r="AO72" i="5"/>
  <c r="AW72" i="5" s="1"/>
  <c r="AO46" i="5"/>
  <c r="AW46" i="5" s="1"/>
  <c r="AO7" i="5"/>
  <c r="AW7" i="5" s="1"/>
  <c r="AO107" i="5"/>
  <c r="AW107" i="5" s="1"/>
  <c r="AO74" i="5"/>
  <c r="AW74" i="5" s="1"/>
  <c r="AO13" i="5"/>
  <c r="AW13" i="5" s="1"/>
  <c r="AO53" i="5"/>
  <c r="AW53" i="5" s="1"/>
  <c r="AO39" i="5"/>
  <c r="AW39" i="5" s="1"/>
  <c r="AO37" i="5"/>
  <c r="AW37" i="5" s="1"/>
  <c r="AO4" i="5"/>
  <c r="AW4" i="5" s="1"/>
  <c r="AO22" i="5"/>
  <c r="AW22" i="5" s="1"/>
  <c r="AO83" i="5"/>
  <c r="AW83" i="5" s="1"/>
  <c r="AO29" i="5"/>
  <c r="AW29" i="5" s="1"/>
  <c r="AO70" i="5"/>
  <c r="AW70" i="5" s="1"/>
  <c r="AO91" i="5"/>
  <c r="AW91" i="5" s="1"/>
  <c r="AO52" i="5"/>
  <c r="AW52" i="5" s="1"/>
  <c r="AO98" i="5"/>
  <c r="AW98" i="5" s="1"/>
  <c r="AO44" i="5"/>
  <c r="AW44" i="5" s="1"/>
  <c r="AO92" i="5"/>
  <c r="AW92" i="5" s="1"/>
  <c r="AO19" i="5"/>
  <c r="AW19" i="5" s="1"/>
  <c r="AO85" i="5"/>
  <c r="AW85" i="5" s="1"/>
  <c r="AO67" i="5"/>
  <c r="AW67" i="5" s="1"/>
  <c r="AO58" i="5"/>
  <c r="AW58" i="5" s="1"/>
  <c r="AO15" i="5"/>
  <c r="AW15" i="5" s="1"/>
  <c r="AO101" i="5"/>
  <c r="AW101" i="5" s="1"/>
  <c r="AO80" i="5"/>
  <c r="AW80" i="5" s="1"/>
  <c r="AO31" i="5"/>
  <c r="AW31" i="5" s="1"/>
  <c r="AO30" i="5"/>
  <c r="AW30" i="5" s="1"/>
  <c r="AO62" i="5"/>
  <c r="AW62" i="5" s="1"/>
  <c r="AO27" i="5"/>
  <c r="AW27" i="5" s="1"/>
  <c r="AO95" i="5"/>
  <c r="AW95" i="5" s="1"/>
  <c r="AO54" i="5"/>
  <c r="AW54" i="5" s="1"/>
  <c r="AO51" i="5"/>
  <c r="AW51" i="5" s="1"/>
  <c r="AO41" i="5"/>
  <c r="AW41" i="5" s="1"/>
  <c r="AO77" i="5"/>
  <c r="AW77" i="5" s="1"/>
  <c r="AO56" i="5"/>
  <c r="AW56" i="5" s="1"/>
  <c r="AO21" i="5"/>
  <c r="AW21" i="5" s="1"/>
  <c r="AO8" i="5"/>
  <c r="AW8" i="5" s="1"/>
  <c r="AO5" i="5"/>
  <c r="AW5" i="5" s="1"/>
  <c r="AO34" i="5"/>
  <c r="AW34" i="5" s="1"/>
  <c r="AO43" i="5"/>
  <c r="AW43" i="5" s="1"/>
  <c r="AO17" i="5"/>
  <c r="AW17" i="5" s="1"/>
  <c r="AO104" i="5"/>
  <c r="AW104" i="5" s="1"/>
  <c r="AO9" i="5"/>
  <c r="AW9" i="5" s="1"/>
  <c r="AO103" i="5"/>
  <c r="AW103" i="5" s="1"/>
  <c r="AO106" i="5"/>
  <c r="AW106" i="5" s="1"/>
  <c r="AO82" i="5"/>
  <c r="AW82" i="5" s="1"/>
  <c r="AO47" i="5"/>
  <c r="AW47" i="5" s="1"/>
  <c r="AO25" i="5"/>
  <c r="AW25" i="5" s="1"/>
  <c r="AO100" i="5"/>
  <c r="AW100" i="5" s="1"/>
  <c r="AO55" i="5"/>
  <c r="AW55" i="5" s="1"/>
  <c r="AO38" i="5"/>
  <c r="AW38" i="5" s="1"/>
  <c r="AO64" i="5"/>
  <c r="AW64" i="5" s="1"/>
  <c r="AO69" i="5"/>
  <c r="AW69" i="5" s="1"/>
  <c r="AO12" i="5"/>
  <c r="AW12" i="5" s="1"/>
  <c r="AO66" i="5"/>
  <c r="AW66" i="5" s="1"/>
  <c r="AO93" i="5"/>
  <c r="AW93" i="5" s="1"/>
  <c r="AO84" i="5"/>
  <c r="AW84" i="5" s="1"/>
  <c r="AO60" i="5"/>
  <c r="AW60" i="5" s="1"/>
  <c r="AO99" i="5"/>
  <c r="AW99" i="5" s="1"/>
  <c r="AO97" i="5"/>
  <c r="AW97" i="5" s="1"/>
  <c r="AO71" i="5"/>
  <c r="AW71" i="5" s="1"/>
  <c r="AO65" i="5"/>
  <c r="AW65" i="5" s="1"/>
  <c r="AO61" i="5"/>
  <c r="AW61" i="5" s="1"/>
  <c r="AO32" i="5"/>
  <c r="AW32" i="5" s="1"/>
  <c r="AO57" i="5"/>
  <c r="AW57" i="5" s="1"/>
  <c r="AO76" i="5"/>
  <c r="AW76" i="5" s="1"/>
  <c r="AO50" i="5"/>
  <c r="AW50" i="5" s="1"/>
  <c r="AO88" i="5"/>
  <c r="AW88" i="5" s="1"/>
  <c r="AO18" i="5"/>
  <c r="AW18" i="5" s="1"/>
  <c r="AO45" i="5"/>
  <c r="AW45" i="5" s="1"/>
  <c r="AO49" i="5"/>
  <c r="AW49" i="5" s="1"/>
  <c r="AE107" i="5"/>
  <c r="AC105" i="5"/>
  <c r="CN62" i="5" l="1"/>
  <c r="DI62" i="5" s="1"/>
  <c r="BJ62" i="5"/>
  <c r="CN20" i="5"/>
  <c r="DI20" i="5" s="1"/>
  <c r="BJ20" i="5"/>
  <c r="CH74" i="5"/>
  <c r="DC74" i="5" s="1"/>
  <c r="BD74" i="5"/>
  <c r="CH69" i="5"/>
  <c r="DC69" i="5" s="1"/>
  <c r="BD69" i="5"/>
  <c r="CH80" i="5"/>
  <c r="DC80" i="5" s="1"/>
  <c r="BD80" i="5"/>
  <c r="CH10" i="5"/>
  <c r="DC10" i="5" s="1"/>
  <c r="BD10" i="5"/>
  <c r="CN61" i="5"/>
  <c r="DI61" i="5" s="1"/>
  <c r="BJ61" i="5"/>
  <c r="CN38" i="5"/>
  <c r="DI38" i="5" s="1"/>
  <c r="BJ38" i="5"/>
  <c r="CN34" i="5"/>
  <c r="DI34" i="5" s="1"/>
  <c r="BJ34" i="5"/>
  <c r="CN30" i="5"/>
  <c r="DI30" i="5" s="1"/>
  <c r="BJ30" i="5"/>
  <c r="CN52" i="5"/>
  <c r="DI52" i="5" s="1"/>
  <c r="BJ52" i="5"/>
  <c r="BJ107" i="5"/>
  <c r="CN107" i="5"/>
  <c r="DI107" i="5" s="1"/>
  <c r="CN79" i="5"/>
  <c r="DI79" i="5" s="1"/>
  <c r="BJ79" i="5"/>
  <c r="CN78" i="5"/>
  <c r="DI78" i="5" s="1"/>
  <c r="BJ78" i="5"/>
  <c r="CH50" i="5"/>
  <c r="DC50" i="5" s="1"/>
  <c r="BD50" i="5"/>
  <c r="CH24" i="5"/>
  <c r="DC24" i="5" s="1"/>
  <c r="BD24" i="5"/>
  <c r="CH40" i="5"/>
  <c r="DC40" i="5" s="1"/>
  <c r="BD40" i="5"/>
  <c r="CH72" i="5"/>
  <c r="DC72" i="5" s="1"/>
  <c r="BD72" i="5"/>
  <c r="CH19" i="5"/>
  <c r="DC19" i="5" s="1"/>
  <c r="BD19" i="5"/>
  <c r="CH75" i="5"/>
  <c r="DC75" i="5" s="1"/>
  <c r="BD75" i="5"/>
  <c r="CH70" i="5"/>
  <c r="DC70" i="5" s="1"/>
  <c r="BD70" i="5"/>
  <c r="CH22" i="5"/>
  <c r="DC22" i="5" s="1"/>
  <c r="BD22" i="5"/>
  <c r="CN74" i="5"/>
  <c r="DI74" i="5" s="1"/>
  <c r="BJ74" i="5"/>
  <c r="CH106" i="5"/>
  <c r="DC106" i="5" s="1"/>
  <c r="BD106" i="5"/>
  <c r="CN5" i="5"/>
  <c r="DI5" i="5" s="1"/>
  <c r="BJ5" i="5"/>
  <c r="CN31" i="5"/>
  <c r="DI31" i="5" s="1"/>
  <c r="BJ31" i="5"/>
  <c r="CN91" i="5"/>
  <c r="DI91" i="5" s="1"/>
  <c r="BJ91" i="5"/>
  <c r="CN7" i="5"/>
  <c r="DI7" i="5" s="1"/>
  <c r="BJ7" i="5"/>
  <c r="CN16" i="5"/>
  <c r="DI16" i="5" s="1"/>
  <c r="BJ16" i="5"/>
  <c r="CN35" i="5"/>
  <c r="DI35" i="5" s="1"/>
  <c r="BJ35" i="5"/>
  <c r="CH21" i="5"/>
  <c r="DC21" i="5" s="1"/>
  <c r="BD21" i="5"/>
  <c r="CH81" i="5"/>
  <c r="DC81" i="5" s="1"/>
  <c r="BD81" i="5"/>
  <c r="CH52" i="5"/>
  <c r="DC52" i="5" s="1"/>
  <c r="BD52" i="5"/>
  <c r="CH5" i="5"/>
  <c r="DC5" i="5" s="1"/>
  <c r="BD5" i="5"/>
  <c r="CH8" i="5"/>
  <c r="DC8" i="5" s="1"/>
  <c r="BD8" i="5"/>
  <c r="CH13" i="5"/>
  <c r="DC13" i="5" s="1"/>
  <c r="BD13" i="5"/>
  <c r="CH83" i="5"/>
  <c r="DC83" i="5" s="1"/>
  <c r="BD83" i="5"/>
  <c r="CH98" i="5"/>
  <c r="DC98" i="5" s="1"/>
  <c r="BD98" i="5"/>
  <c r="CH54" i="5"/>
  <c r="DC54" i="5" s="1"/>
  <c r="BD54" i="5"/>
  <c r="BJ98" i="5"/>
  <c r="CN98" i="5"/>
  <c r="DI98" i="5" s="1"/>
  <c r="CH71" i="5"/>
  <c r="DC71" i="5" s="1"/>
  <c r="BD71" i="5"/>
  <c r="CN65" i="5"/>
  <c r="DI65" i="5" s="1"/>
  <c r="BJ65" i="5"/>
  <c r="CN8" i="5"/>
  <c r="DI8" i="5" s="1"/>
  <c r="BJ8" i="5"/>
  <c r="CN70" i="5"/>
  <c r="DI70" i="5" s="1"/>
  <c r="BJ70" i="5"/>
  <c r="CN46" i="5"/>
  <c r="DI46" i="5" s="1"/>
  <c r="BJ46" i="5"/>
  <c r="BJ11" i="5"/>
  <c r="CN11" i="5"/>
  <c r="DI11" i="5" s="1"/>
  <c r="CN73" i="5"/>
  <c r="DI73" i="5" s="1"/>
  <c r="BJ73" i="5"/>
  <c r="CH43" i="5"/>
  <c r="DC43" i="5" s="1"/>
  <c r="BD43" i="5"/>
  <c r="CH9" i="5"/>
  <c r="DC9" i="5" s="1"/>
  <c r="BD9" i="5"/>
  <c r="CH36" i="5"/>
  <c r="DC36" i="5" s="1"/>
  <c r="BD36" i="5"/>
  <c r="CH27" i="5"/>
  <c r="DC27" i="5" s="1"/>
  <c r="BD27" i="5"/>
  <c r="CH63" i="5"/>
  <c r="DC63" i="5" s="1"/>
  <c r="BD63" i="5"/>
  <c r="CH38" i="5"/>
  <c r="DC38" i="5" s="1"/>
  <c r="BD38" i="5"/>
  <c r="CH12" i="5"/>
  <c r="DC12" i="5" s="1"/>
  <c r="BD12" i="5"/>
  <c r="CH77" i="5"/>
  <c r="DC77" i="5" s="1"/>
  <c r="BD77" i="5"/>
  <c r="CH82" i="5"/>
  <c r="DC82" i="5" s="1"/>
  <c r="BD82" i="5"/>
  <c r="CN43" i="5"/>
  <c r="DI43" i="5" s="1"/>
  <c r="BJ43" i="5"/>
  <c r="CN81" i="5"/>
  <c r="DI81" i="5" s="1"/>
  <c r="BJ81" i="5"/>
  <c r="CH56" i="5"/>
  <c r="DC56" i="5" s="1"/>
  <c r="BD56" i="5"/>
  <c r="CN71" i="5"/>
  <c r="DI71" i="5" s="1"/>
  <c r="BJ71" i="5"/>
  <c r="CN80" i="5"/>
  <c r="DI80" i="5" s="1"/>
  <c r="BJ80" i="5"/>
  <c r="CN97" i="5"/>
  <c r="DI97" i="5" s="1"/>
  <c r="BJ97" i="5"/>
  <c r="CN25" i="5"/>
  <c r="DI25" i="5" s="1"/>
  <c r="BJ25" i="5"/>
  <c r="CN21" i="5"/>
  <c r="DI21" i="5" s="1"/>
  <c r="BJ21" i="5"/>
  <c r="BJ101" i="5"/>
  <c r="CN101" i="5"/>
  <c r="DI101" i="5" s="1"/>
  <c r="CN29" i="5"/>
  <c r="DI29" i="5" s="1"/>
  <c r="BJ29" i="5"/>
  <c r="CN72" i="5"/>
  <c r="DI72" i="5" s="1"/>
  <c r="BJ72" i="5"/>
  <c r="CN10" i="5"/>
  <c r="DI10" i="5" s="1"/>
  <c r="BJ10" i="5"/>
  <c r="CN75" i="5"/>
  <c r="DI75" i="5" s="1"/>
  <c r="BJ75" i="5"/>
  <c r="CH46" i="5"/>
  <c r="DC46" i="5" s="1"/>
  <c r="BD46" i="5"/>
  <c r="CH44" i="5"/>
  <c r="DC44" i="5" s="1"/>
  <c r="BD44" i="5"/>
  <c r="CH92" i="5"/>
  <c r="DC92" i="5" s="1"/>
  <c r="BD92" i="5"/>
  <c r="CH94" i="5"/>
  <c r="DC94" i="5" s="1"/>
  <c r="BD94" i="5"/>
  <c r="CH78" i="5"/>
  <c r="DC78" i="5" s="1"/>
  <c r="BD78" i="5"/>
  <c r="CH68" i="5"/>
  <c r="DC68" i="5" s="1"/>
  <c r="BD68" i="5"/>
  <c r="CH34" i="5"/>
  <c r="DC34" i="5" s="1"/>
  <c r="BD34" i="5"/>
  <c r="CH65" i="5"/>
  <c r="DC65" i="5" s="1"/>
  <c r="BD65" i="5"/>
  <c r="CH33" i="5"/>
  <c r="DC33" i="5" s="1"/>
  <c r="BD33" i="5"/>
  <c r="CN64" i="5"/>
  <c r="DI64" i="5" s="1"/>
  <c r="BJ64" i="5"/>
  <c r="CN28" i="5"/>
  <c r="DI28" i="5" s="1"/>
  <c r="BJ28" i="5"/>
  <c r="BD73" i="5"/>
  <c r="CH73" i="5"/>
  <c r="DC73" i="5" s="1"/>
  <c r="BJ55" i="5"/>
  <c r="CN55" i="5"/>
  <c r="DI55" i="5" s="1"/>
  <c r="CN100" i="5"/>
  <c r="DI100" i="5" s="1"/>
  <c r="BJ100" i="5"/>
  <c r="CN49" i="5"/>
  <c r="DI49" i="5" s="1"/>
  <c r="BJ49" i="5"/>
  <c r="BJ99" i="5"/>
  <c r="CN99" i="5"/>
  <c r="DI99" i="5" s="1"/>
  <c r="CN47" i="5"/>
  <c r="DI47" i="5" s="1"/>
  <c r="BJ47" i="5"/>
  <c r="CN56" i="5"/>
  <c r="DI56" i="5" s="1"/>
  <c r="BJ56" i="5"/>
  <c r="CN15" i="5"/>
  <c r="DI15" i="5" s="1"/>
  <c r="BJ15" i="5"/>
  <c r="CN83" i="5"/>
  <c r="DI83" i="5" s="1"/>
  <c r="BJ83" i="5"/>
  <c r="CN96" i="5"/>
  <c r="DI96" i="5" s="1"/>
  <c r="BJ96" i="5"/>
  <c r="CN102" i="5"/>
  <c r="DI102" i="5" s="1"/>
  <c r="BJ102" i="5"/>
  <c r="CN23" i="5"/>
  <c r="DI23" i="5" s="1"/>
  <c r="BJ23" i="5"/>
  <c r="CH89" i="5"/>
  <c r="DC89" i="5" s="1"/>
  <c r="BD89" i="5"/>
  <c r="CH103" i="5"/>
  <c r="DC103" i="5" s="1"/>
  <c r="BD103" i="5"/>
  <c r="BD85" i="5"/>
  <c r="CH85" i="5"/>
  <c r="DC85" i="5" s="1"/>
  <c r="CH11" i="5"/>
  <c r="DC11" i="5" s="1"/>
  <c r="BD11" i="5"/>
  <c r="CH90" i="5"/>
  <c r="DC90" i="5" s="1"/>
  <c r="BD90" i="5"/>
  <c r="CH107" i="5"/>
  <c r="DC107" i="5" s="1"/>
  <c r="BD107" i="5"/>
  <c r="CH104" i="5"/>
  <c r="DC104" i="5" s="1"/>
  <c r="BD104" i="5"/>
  <c r="CH86" i="5"/>
  <c r="DC86" i="5" s="1"/>
  <c r="BD86" i="5"/>
  <c r="CH84" i="5"/>
  <c r="DC84" i="5" s="1"/>
  <c r="BD84" i="5"/>
  <c r="CN32" i="5"/>
  <c r="DI32" i="5" s="1"/>
  <c r="BJ32" i="5"/>
  <c r="CN60" i="5"/>
  <c r="DI60" i="5" s="1"/>
  <c r="BJ60" i="5"/>
  <c r="CN82" i="5"/>
  <c r="DI82" i="5" s="1"/>
  <c r="BJ82" i="5"/>
  <c r="CN77" i="5"/>
  <c r="DI77" i="5" s="1"/>
  <c r="BJ77" i="5"/>
  <c r="CN58" i="5"/>
  <c r="DI58" i="5" s="1"/>
  <c r="BJ58" i="5"/>
  <c r="CN22" i="5"/>
  <c r="DI22" i="5" s="1"/>
  <c r="BJ22" i="5"/>
  <c r="CN105" i="5"/>
  <c r="DI105" i="5" s="1"/>
  <c r="BJ105" i="5"/>
  <c r="CN42" i="5"/>
  <c r="DI42" i="5" s="1"/>
  <c r="BJ42" i="5"/>
  <c r="CN36" i="5"/>
  <c r="DI36" i="5" s="1"/>
  <c r="BJ36" i="5"/>
  <c r="CH101" i="5"/>
  <c r="DC101" i="5" s="1"/>
  <c r="BD101" i="5"/>
  <c r="CH96" i="5"/>
  <c r="DC96" i="5" s="1"/>
  <c r="BD96" i="5"/>
  <c r="CH93" i="5"/>
  <c r="DC93" i="5" s="1"/>
  <c r="BD93" i="5"/>
  <c r="CH41" i="5"/>
  <c r="DC41" i="5" s="1"/>
  <c r="BD41" i="5"/>
  <c r="CH51" i="5"/>
  <c r="DC51" i="5" s="1"/>
  <c r="BD51" i="5"/>
  <c r="CH47" i="5"/>
  <c r="DC47" i="5" s="1"/>
  <c r="BD47" i="5"/>
  <c r="CH14" i="5"/>
  <c r="DC14" i="5" s="1"/>
  <c r="BD14" i="5"/>
  <c r="BD100" i="5"/>
  <c r="CH100" i="5"/>
  <c r="DC100" i="5" s="1"/>
  <c r="BD105" i="5"/>
  <c r="CH105" i="5"/>
  <c r="DC105" i="5" s="1"/>
  <c r="CN18" i="5"/>
  <c r="DI18" i="5" s="1"/>
  <c r="BJ18" i="5"/>
  <c r="CN84" i="5"/>
  <c r="DI84" i="5" s="1"/>
  <c r="BJ84" i="5"/>
  <c r="CN106" i="5"/>
  <c r="DI106" i="5" s="1"/>
  <c r="BJ106" i="5"/>
  <c r="CN41" i="5"/>
  <c r="DI41" i="5" s="1"/>
  <c r="BJ41" i="5"/>
  <c r="CN67" i="5"/>
  <c r="DI67" i="5" s="1"/>
  <c r="BJ67" i="5"/>
  <c r="CN4" i="5"/>
  <c r="BJ4" i="5"/>
  <c r="CN33" i="5"/>
  <c r="DI33" i="5" s="1"/>
  <c r="BJ33" i="5"/>
  <c r="CN6" i="5"/>
  <c r="DI6" i="5" s="1"/>
  <c r="BJ6" i="5"/>
  <c r="CN26" i="5"/>
  <c r="DI26" i="5" s="1"/>
  <c r="BJ26" i="5"/>
  <c r="BD55" i="5"/>
  <c r="CH55" i="5"/>
  <c r="DC55" i="5" s="1"/>
  <c r="CH102" i="5"/>
  <c r="DC102" i="5" s="1"/>
  <c r="BD102" i="5"/>
  <c r="CH37" i="5"/>
  <c r="DC37" i="5" s="1"/>
  <c r="BD37" i="5"/>
  <c r="CH16" i="5"/>
  <c r="DC16" i="5" s="1"/>
  <c r="BD16" i="5"/>
  <c r="CH20" i="5"/>
  <c r="DC20" i="5" s="1"/>
  <c r="BD20" i="5"/>
  <c r="CH35" i="5"/>
  <c r="DC35" i="5" s="1"/>
  <c r="BD35" i="5"/>
  <c r="CH49" i="5"/>
  <c r="DC49" i="5" s="1"/>
  <c r="BD49" i="5"/>
  <c r="CH15" i="5"/>
  <c r="DC15" i="5" s="1"/>
  <c r="BD15" i="5"/>
  <c r="CH7" i="5"/>
  <c r="DC7" i="5" s="1"/>
  <c r="BD7" i="5"/>
  <c r="BJ88" i="5"/>
  <c r="CN88" i="5"/>
  <c r="DI88" i="5" s="1"/>
  <c r="CN93" i="5"/>
  <c r="DI93" i="5" s="1"/>
  <c r="BJ93" i="5"/>
  <c r="CN103" i="5"/>
  <c r="DI103" i="5" s="1"/>
  <c r="BJ103" i="5"/>
  <c r="CN51" i="5"/>
  <c r="DI51" i="5" s="1"/>
  <c r="BJ51" i="5"/>
  <c r="CN85" i="5"/>
  <c r="DI85" i="5" s="1"/>
  <c r="BJ85" i="5"/>
  <c r="CN37" i="5"/>
  <c r="DI37" i="5" s="1"/>
  <c r="BJ37" i="5"/>
  <c r="CN59" i="5"/>
  <c r="DI59" i="5" s="1"/>
  <c r="BJ59" i="5"/>
  <c r="CN40" i="5"/>
  <c r="DI40" i="5" s="1"/>
  <c r="BJ40" i="5"/>
  <c r="CN68" i="5"/>
  <c r="DI68" i="5" s="1"/>
  <c r="BJ68" i="5"/>
  <c r="CH30" i="5"/>
  <c r="DC30" i="5" s="1"/>
  <c r="BD30" i="5"/>
  <c r="CH97" i="5"/>
  <c r="DC97" i="5" s="1"/>
  <c r="BD97" i="5"/>
  <c r="CH99" i="5"/>
  <c r="DC99" i="5" s="1"/>
  <c r="BD99" i="5"/>
  <c r="CH4" i="5"/>
  <c r="BD4" i="5"/>
  <c r="CH60" i="5"/>
  <c r="DC60" i="5" s="1"/>
  <c r="BD60" i="5"/>
  <c r="CH57" i="5"/>
  <c r="DC57" i="5" s="1"/>
  <c r="BD57" i="5"/>
  <c r="CH42" i="5"/>
  <c r="DC42" i="5" s="1"/>
  <c r="BD42" i="5"/>
  <c r="CH58" i="5"/>
  <c r="DC58" i="5" s="1"/>
  <c r="BD58" i="5"/>
  <c r="CH17" i="5"/>
  <c r="DC17" i="5" s="1"/>
  <c r="BD17" i="5"/>
  <c r="CN66" i="5"/>
  <c r="DI66" i="5" s="1"/>
  <c r="BJ66" i="5"/>
  <c r="CN9" i="5"/>
  <c r="DI9" i="5" s="1"/>
  <c r="BJ9" i="5"/>
  <c r="CN54" i="5"/>
  <c r="DI54" i="5" s="1"/>
  <c r="BJ54" i="5"/>
  <c r="CN19" i="5"/>
  <c r="DI19" i="5" s="1"/>
  <c r="BJ19" i="5"/>
  <c r="CN39" i="5"/>
  <c r="DI39" i="5" s="1"/>
  <c r="BJ39" i="5"/>
  <c r="CN24" i="5"/>
  <c r="DI24" i="5" s="1"/>
  <c r="BJ24" i="5"/>
  <c r="CN48" i="5"/>
  <c r="DI48" i="5" s="1"/>
  <c r="BJ48" i="5"/>
  <c r="BJ89" i="5"/>
  <c r="CN89" i="5"/>
  <c r="DI89" i="5" s="1"/>
  <c r="CH61" i="5"/>
  <c r="DC61" i="5" s="1"/>
  <c r="BD61" i="5"/>
  <c r="CH6" i="5"/>
  <c r="DC6" i="5" s="1"/>
  <c r="BD6" i="5"/>
  <c r="CH39" i="5"/>
  <c r="DC39" i="5" s="1"/>
  <c r="BD39" i="5"/>
  <c r="CH29" i="5"/>
  <c r="DC29" i="5" s="1"/>
  <c r="BD29" i="5"/>
  <c r="CH79" i="5"/>
  <c r="DC79" i="5" s="1"/>
  <c r="BD79" i="5"/>
  <c r="CH45" i="5"/>
  <c r="DC45" i="5" s="1"/>
  <c r="BD45" i="5"/>
  <c r="CH31" i="5"/>
  <c r="DC31" i="5" s="1"/>
  <c r="BD31" i="5"/>
  <c r="CH67" i="5"/>
  <c r="DC67" i="5" s="1"/>
  <c r="BD67" i="5"/>
  <c r="CH87" i="5"/>
  <c r="DC87" i="5" s="1"/>
  <c r="BD87" i="5"/>
  <c r="CN50" i="5"/>
  <c r="DI50" i="5" s="1"/>
  <c r="BJ50" i="5"/>
  <c r="CN76" i="5"/>
  <c r="DI76" i="5" s="1"/>
  <c r="BJ76" i="5"/>
  <c r="CN12" i="5"/>
  <c r="DI12" i="5" s="1"/>
  <c r="BJ12" i="5"/>
  <c r="BJ104" i="5"/>
  <c r="CN104" i="5"/>
  <c r="DI104" i="5" s="1"/>
  <c r="BJ95" i="5"/>
  <c r="CN95" i="5"/>
  <c r="DI95" i="5" s="1"/>
  <c r="BJ92" i="5"/>
  <c r="CN92" i="5"/>
  <c r="DI92" i="5" s="1"/>
  <c r="CN53" i="5"/>
  <c r="DI53" i="5" s="1"/>
  <c r="BJ53" i="5"/>
  <c r="BJ14" i="5"/>
  <c r="CN14" i="5"/>
  <c r="DI14" i="5" s="1"/>
  <c r="CN63" i="5"/>
  <c r="DI63" i="5" s="1"/>
  <c r="BJ63" i="5"/>
  <c r="CN90" i="5"/>
  <c r="DI90" i="5" s="1"/>
  <c r="BJ90" i="5"/>
  <c r="BD91" i="5"/>
  <c r="CH91" i="5"/>
  <c r="DC91" i="5" s="1"/>
  <c r="CH23" i="5"/>
  <c r="DC23" i="5" s="1"/>
  <c r="BD23" i="5"/>
  <c r="CH76" i="5"/>
  <c r="DC76" i="5" s="1"/>
  <c r="BD76" i="5"/>
  <c r="CH18" i="5"/>
  <c r="DC18" i="5" s="1"/>
  <c r="BD18" i="5"/>
  <c r="CH95" i="5"/>
  <c r="DC95" i="5" s="1"/>
  <c r="BD95" i="5"/>
  <c r="CH53" i="5"/>
  <c r="DC53" i="5" s="1"/>
  <c r="BD53" i="5"/>
  <c r="CH28" i="5"/>
  <c r="DC28" i="5" s="1"/>
  <c r="BD28" i="5"/>
  <c r="CH66" i="5"/>
  <c r="DC66" i="5" s="1"/>
  <c r="BD66" i="5"/>
  <c r="CN45" i="5"/>
  <c r="DI45" i="5" s="1"/>
  <c r="BJ45" i="5"/>
  <c r="CN57" i="5"/>
  <c r="DI57" i="5" s="1"/>
  <c r="BJ57" i="5"/>
  <c r="CN69" i="5"/>
  <c r="DI69" i="5" s="1"/>
  <c r="BJ69" i="5"/>
  <c r="BJ17" i="5"/>
  <c r="CN17" i="5"/>
  <c r="DI17" i="5" s="1"/>
  <c r="CN27" i="5"/>
  <c r="DI27" i="5" s="1"/>
  <c r="BJ27" i="5"/>
  <c r="CN44" i="5"/>
  <c r="DI44" i="5" s="1"/>
  <c r="BJ44" i="5"/>
  <c r="CN13" i="5"/>
  <c r="DI13" i="5" s="1"/>
  <c r="BJ13" i="5"/>
  <c r="CN87" i="5"/>
  <c r="DI87" i="5" s="1"/>
  <c r="BJ87" i="5"/>
  <c r="CN94" i="5"/>
  <c r="DI94" i="5" s="1"/>
  <c r="BJ94" i="5"/>
  <c r="CN86" i="5"/>
  <c r="DI86" i="5" s="1"/>
  <c r="BJ86" i="5"/>
  <c r="CH48" i="5"/>
  <c r="DC48" i="5" s="1"/>
  <c r="BD48" i="5"/>
  <c r="CH88" i="5"/>
  <c r="DC88" i="5" s="1"/>
  <c r="BD88" i="5"/>
  <c r="CH62" i="5"/>
  <c r="DC62" i="5" s="1"/>
  <c r="BD62" i="5"/>
  <c r="CH59" i="5"/>
  <c r="DC59" i="5" s="1"/>
  <c r="BD59" i="5"/>
  <c r="CH32" i="5"/>
  <c r="DC32" i="5" s="1"/>
  <c r="BD32" i="5"/>
  <c r="CH25" i="5"/>
  <c r="DC25" i="5" s="1"/>
  <c r="BD25" i="5"/>
  <c r="CH64" i="5"/>
  <c r="DC64" i="5" s="1"/>
  <c r="BD64" i="5"/>
  <c r="CH26" i="5"/>
  <c r="DC26" i="5" s="1"/>
  <c r="BD26" i="5"/>
  <c r="AC106" i="5"/>
  <c r="AD106" i="5"/>
  <c r="AM21" i="5"/>
  <c r="AU21" i="5" s="1"/>
  <c r="AM66" i="5"/>
  <c r="AU66" i="5" s="1"/>
  <c r="AM84" i="5"/>
  <c r="AU84" i="5" s="1"/>
  <c r="AM97" i="5"/>
  <c r="AU97" i="5" s="1"/>
  <c r="AM34" i="5"/>
  <c r="AU34" i="5" s="1"/>
  <c r="AM39" i="5"/>
  <c r="AU39" i="5" s="1"/>
  <c r="AM92" i="5"/>
  <c r="AU92" i="5" s="1"/>
  <c r="AM57" i="5"/>
  <c r="AU57" i="5" s="1"/>
  <c r="AM30" i="5"/>
  <c r="AU30" i="5" s="1"/>
  <c r="AM5" i="5"/>
  <c r="AU5" i="5" s="1"/>
  <c r="AM33" i="5"/>
  <c r="AU33" i="5" s="1"/>
  <c r="AM85" i="5"/>
  <c r="AU85" i="5" s="1"/>
  <c r="AM87" i="5"/>
  <c r="AU87" i="5" s="1"/>
  <c r="AM89" i="5"/>
  <c r="AU89" i="5" s="1"/>
  <c r="AM60" i="5"/>
  <c r="AU60" i="5" s="1"/>
  <c r="AM35" i="5"/>
  <c r="AU35" i="5" s="1"/>
  <c r="AM102" i="5"/>
  <c r="AU102" i="5" s="1"/>
  <c r="AM41" i="5"/>
  <c r="AU41" i="5" s="1"/>
  <c r="AM23" i="5"/>
  <c r="AU23" i="5" s="1"/>
  <c r="AM70" i="5"/>
  <c r="AU70" i="5" s="1"/>
  <c r="AM79" i="5"/>
  <c r="AU79" i="5" s="1"/>
  <c r="AM76" i="5"/>
  <c r="AU76" i="5" s="1"/>
  <c r="AM72" i="5"/>
  <c r="AU72" i="5" s="1"/>
  <c r="AM69" i="5"/>
  <c r="AU69" i="5" s="1"/>
  <c r="AM8" i="5"/>
  <c r="AU8" i="5" s="1"/>
  <c r="AM11" i="5"/>
  <c r="AU11" i="5" s="1"/>
  <c r="AM40" i="5"/>
  <c r="AU40" i="5" s="1"/>
  <c r="AM71" i="5"/>
  <c r="AU71" i="5" s="1"/>
  <c r="AM82" i="5"/>
  <c r="AU82" i="5" s="1"/>
  <c r="AM48" i="5"/>
  <c r="AU48" i="5" s="1"/>
  <c r="AM74" i="5"/>
  <c r="AU74" i="5" s="1"/>
  <c r="AM44" i="5"/>
  <c r="AU44" i="5" s="1"/>
  <c r="AM105" i="5"/>
  <c r="AU105" i="5" s="1"/>
  <c r="AM59" i="5"/>
  <c r="AU59" i="5" s="1"/>
  <c r="AM93" i="5"/>
  <c r="AU93" i="5" s="1"/>
  <c r="AM53" i="5"/>
  <c r="AU53" i="5" s="1"/>
  <c r="AM9" i="5"/>
  <c r="AU9" i="5" s="1"/>
  <c r="AM51" i="5"/>
  <c r="AU51" i="5" s="1"/>
  <c r="AM38" i="5"/>
  <c r="AU38" i="5" s="1"/>
  <c r="AM95" i="5"/>
  <c r="AU95" i="5" s="1"/>
  <c r="AM99" i="5"/>
  <c r="AU99" i="5" s="1"/>
  <c r="AM62" i="5"/>
  <c r="AU62" i="5" s="1"/>
  <c r="AM67" i="5"/>
  <c r="AU67" i="5" s="1"/>
  <c r="AM86" i="5"/>
  <c r="AU86" i="5" s="1"/>
  <c r="AM28" i="5"/>
  <c r="AU28" i="5" s="1"/>
  <c r="AM36" i="5"/>
  <c r="AU36" i="5" s="1"/>
  <c r="AM103" i="5"/>
  <c r="AU103" i="5" s="1"/>
  <c r="AM104" i="5"/>
  <c r="AU104" i="5" s="1"/>
  <c r="AM29" i="5"/>
  <c r="AU29" i="5" s="1"/>
  <c r="AM64" i="5"/>
  <c r="AU64" i="5" s="1"/>
  <c r="AM32" i="5"/>
  <c r="AU32" i="5" s="1"/>
  <c r="AM19" i="5"/>
  <c r="AU19" i="5" s="1"/>
  <c r="AM54" i="5"/>
  <c r="AU54" i="5" s="1"/>
  <c r="AM77" i="5"/>
  <c r="AU77" i="5" s="1"/>
  <c r="AM88" i="5"/>
  <c r="AU88" i="5" s="1"/>
  <c r="AM20" i="5"/>
  <c r="AU20" i="5" s="1"/>
  <c r="AM100" i="5"/>
  <c r="AU100" i="5" s="1"/>
  <c r="AM80" i="5"/>
  <c r="AU80" i="5" s="1"/>
  <c r="AM13" i="5"/>
  <c r="AU13" i="5" s="1"/>
  <c r="AM15" i="5"/>
  <c r="AU15" i="5" s="1"/>
  <c r="AM27" i="5"/>
  <c r="AU27" i="5" s="1"/>
  <c r="AM96" i="5"/>
  <c r="AU96" i="5" s="1"/>
  <c r="AM107" i="5"/>
  <c r="AU107" i="5" s="1"/>
  <c r="AM101" i="5"/>
  <c r="AU101" i="5" s="1"/>
  <c r="AM78" i="5"/>
  <c r="AU78" i="5" s="1"/>
  <c r="AM46" i="5"/>
  <c r="AU46" i="5" s="1"/>
  <c r="AM83" i="5"/>
  <c r="AU83" i="5" s="1"/>
  <c r="AM73" i="5"/>
  <c r="AU73" i="5" s="1"/>
  <c r="AM14" i="5"/>
  <c r="AU14" i="5" s="1"/>
  <c r="AM43" i="5"/>
  <c r="AU43" i="5" s="1"/>
  <c r="AM52" i="5"/>
  <c r="AU52" i="5" s="1"/>
  <c r="AM56" i="5"/>
  <c r="AU56" i="5" s="1"/>
  <c r="AM106" i="5"/>
  <c r="AU106" i="5" s="1"/>
  <c r="AM7" i="5"/>
  <c r="AU7" i="5" s="1"/>
  <c r="AM65" i="5"/>
  <c r="AU65" i="5" s="1"/>
  <c r="AM6" i="5"/>
  <c r="AU6" i="5" s="1"/>
  <c r="AM55" i="5"/>
  <c r="AU55" i="5" s="1"/>
  <c r="AM81" i="5"/>
  <c r="AU81" i="5" s="1"/>
  <c r="AM22" i="5"/>
  <c r="AU22" i="5" s="1"/>
  <c r="AM50" i="5"/>
  <c r="AU50" i="5" s="1"/>
  <c r="AM10" i="5"/>
  <c r="AU10" i="5" s="1"/>
  <c r="AM17" i="5"/>
  <c r="AU17" i="5" s="1"/>
  <c r="AM24" i="5"/>
  <c r="AU24" i="5" s="1"/>
  <c r="AM47" i="5"/>
  <c r="AU47" i="5" s="1"/>
  <c r="AM49" i="5"/>
  <c r="AU49" i="5" s="1"/>
  <c r="AM18" i="5"/>
  <c r="AU18" i="5" s="1"/>
  <c r="AM75" i="5"/>
  <c r="AU75" i="5" s="1"/>
  <c r="AM12" i="5"/>
  <c r="AU12" i="5" s="1"/>
  <c r="AM37" i="5"/>
  <c r="AU37" i="5" s="1"/>
  <c r="AM61" i="5"/>
  <c r="AU61" i="5" s="1"/>
  <c r="AM31" i="5"/>
  <c r="AU31" i="5" s="1"/>
  <c r="AM90" i="5"/>
  <c r="AU90" i="5" s="1"/>
  <c r="AM25" i="5"/>
  <c r="AU25" i="5" s="1"/>
  <c r="AM45" i="5"/>
  <c r="AU45" i="5" s="1"/>
  <c r="AM4" i="5"/>
  <c r="AU4" i="5" s="1"/>
  <c r="AM91" i="5"/>
  <c r="AU91" i="5" s="1"/>
  <c r="AM42" i="5"/>
  <c r="AU42" i="5" s="1"/>
  <c r="AM26" i="5"/>
  <c r="AU26" i="5" s="1"/>
  <c r="AM63" i="5"/>
  <c r="AU63" i="5" s="1"/>
  <c r="AM16" i="5"/>
  <c r="AU16" i="5" s="1"/>
  <c r="AM58" i="5"/>
  <c r="AU58" i="5" s="1"/>
  <c r="AM68" i="5"/>
  <c r="AU68" i="5" s="1"/>
  <c r="AM94" i="5"/>
  <c r="AU94" i="5" s="1"/>
  <c r="AM98" i="5"/>
  <c r="AU98" i="5" s="1"/>
  <c r="AF107" i="5"/>
  <c r="AB107" i="5"/>
  <c r="DC4" i="5" l="1"/>
  <c r="DC2" i="5" s="1"/>
  <c r="CH1" i="5"/>
  <c r="DI4" i="5"/>
  <c r="CN1" i="5"/>
  <c r="CL26" i="5"/>
  <c r="DG26" i="5" s="1"/>
  <c r="BH26" i="5"/>
  <c r="CL89" i="5"/>
  <c r="DG89" i="5" s="1"/>
  <c r="BH89" i="5"/>
  <c r="CL42" i="5"/>
  <c r="DG42" i="5" s="1"/>
  <c r="BH42" i="5"/>
  <c r="CL49" i="5"/>
  <c r="DG49" i="5" s="1"/>
  <c r="BH49" i="5"/>
  <c r="BH106" i="5"/>
  <c r="CL106" i="5"/>
  <c r="DG106" i="5" s="1"/>
  <c r="CL27" i="5"/>
  <c r="DG27" i="5" s="1"/>
  <c r="BH27" i="5"/>
  <c r="CL29" i="5"/>
  <c r="DG29" i="5" s="1"/>
  <c r="BH29" i="5"/>
  <c r="CL9" i="5"/>
  <c r="DG9" i="5" s="1"/>
  <c r="BH9" i="5"/>
  <c r="CL8" i="5"/>
  <c r="DG8" i="5" s="1"/>
  <c r="BH8" i="5"/>
  <c r="CL87" i="5"/>
  <c r="DG87" i="5" s="1"/>
  <c r="BH87" i="5"/>
  <c r="CL21" i="5"/>
  <c r="DG21" i="5" s="1"/>
  <c r="BH21" i="5"/>
  <c r="CL11" i="5"/>
  <c r="DG11" i="5" s="1"/>
  <c r="BH11" i="5"/>
  <c r="CL56" i="5"/>
  <c r="DG56" i="5" s="1"/>
  <c r="BH56" i="5"/>
  <c r="CL15" i="5"/>
  <c r="DG15" i="5" s="1"/>
  <c r="BH15" i="5"/>
  <c r="CL104" i="5"/>
  <c r="DG104" i="5" s="1"/>
  <c r="BH104" i="5"/>
  <c r="CL53" i="5"/>
  <c r="DG53" i="5" s="1"/>
  <c r="BH53" i="5"/>
  <c r="CL69" i="5"/>
  <c r="DG69" i="5" s="1"/>
  <c r="BH69" i="5"/>
  <c r="CL85" i="5"/>
  <c r="DG85" i="5" s="1"/>
  <c r="BH85" i="5"/>
  <c r="CL51" i="5"/>
  <c r="DG51" i="5" s="1"/>
  <c r="BH51" i="5"/>
  <c r="CL24" i="5"/>
  <c r="DG24" i="5" s="1"/>
  <c r="BH24" i="5"/>
  <c r="CL13" i="5"/>
  <c r="DG13" i="5" s="1"/>
  <c r="BH13" i="5"/>
  <c r="CL103" i="5"/>
  <c r="DG103" i="5" s="1"/>
  <c r="BH103" i="5"/>
  <c r="CL93" i="5"/>
  <c r="DG93" i="5" s="1"/>
  <c r="BH93" i="5"/>
  <c r="CL72" i="5"/>
  <c r="DG72" i="5" s="1"/>
  <c r="BH72" i="5"/>
  <c r="CL33" i="5"/>
  <c r="DG33" i="5" s="1"/>
  <c r="BH33" i="5"/>
  <c r="DI2" i="5"/>
  <c r="CL66" i="5"/>
  <c r="DG66" i="5" s="1"/>
  <c r="BH66" i="5"/>
  <c r="BH91" i="5"/>
  <c r="CL91" i="5"/>
  <c r="DG91" i="5" s="1"/>
  <c r="CL4" i="5"/>
  <c r="BH4" i="5"/>
  <c r="CL45" i="5"/>
  <c r="DG45" i="5" s="1"/>
  <c r="BH45" i="5"/>
  <c r="CL17" i="5"/>
  <c r="DG17" i="5" s="1"/>
  <c r="BH17" i="5"/>
  <c r="CL43" i="5"/>
  <c r="DG43" i="5" s="1"/>
  <c r="BH43" i="5"/>
  <c r="CL80" i="5"/>
  <c r="DG80" i="5" s="1"/>
  <c r="BH80" i="5"/>
  <c r="CL36" i="5"/>
  <c r="DG36" i="5" s="1"/>
  <c r="BH36" i="5"/>
  <c r="CL59" i="5"/>
  <c r="DG59" i="5" s="1"/>
  <c r="BH59" i="5"/>
  <c r="CL76" i="5"/>
  <c r="DG76" i="5" s="1"/>
  <c r="BH76" i="5"/>
  <c r="CL5" i="5"/>
  <c r="DG5" i="5" s="1"/>
  <c r="BH5" i="5"/>
  <c r="BH64" i="5"/>
  <c r="CL64" i="5"/>
  <c r="DG64" i="5" s="1"/>
  <c r="CL47" i="5"/>
  <c r="DG47" i="5" s="1"/>
  <c r="BH47" i="5"/>
  <c r="CL52" i="5"/>
  <c r="DG52" i="5" s="1"/>
  <c r="BH52" i="5"/>
  <c r="CL25" i="5"/>
  <c r="DG25" i="5" s="1"/>
  <c r="BH25" i="5"/>
  <c r="CL10" i="5"/>
  <c r="DG10" i="5" s="1"/>
  <c r="BH10" i="5"/>
  <c r="CL14" i="5"/>
  <c r="DG14" i="5" s="1"/>
  <c r="BH14" i="5"/>
  <c r="CL100" i="5"/>
  <c r="DG100" i="5" s="1"/>
  <c r="BH100" i="5"/>
  <c r="CL28" i="5"/>
  <c r="DG28" i="5" s="1"/>
  <c r="BH28" i="5"/>
  <c r="CL105" i="5"/>
  <c r="DG105" i="5" s="1"/>
  <c r="BH105" i="5"/>
  <c r="CL79" i="5"/>
  <c r="DG79" i="5" s="1"/>
  <c r="BH79" i="5"/>
  <c r="CL30" i="5"/>
  <c r="DG30" i="5" s="1"/>
  <c r="BH30" i="5"/>
  <c r="CL98" i="5"/>
  <c r="DG98" i="5" s="1"/>
  <c r="BH98" i="5"/>
  <c r="CL90" i="5"/>
  <c r="DG90" i="5" s="1"/>
  <c r="BH90" i="5"/>
  <c r="CL50" i="5"/>
  <c r="DG50" i="5" s="1"/>
  <c r="BH50" i="5"/>
  <c r="BH73" i="5"/>
  <c r="CL73" i="5"/>
  <c r="DG73" i="5" s="1"/>
  <c r="CL20" i="5"/>
  <c r="DG20" i="5" s="1"/>
  <c r="BH20" i="5"/>
  <c r="CL86" i="5"/>
  <c r="DG86" i="5" s="1"/>
  <c r="BH86" i="5"/>
  <c r="CL44" i="5"/>
  <c r="DG44" i="5" s="1"/>
  <c r="BH44" i="5"/>
  <c r="CL70" i="5"/>
  <c r="DG70" i="5" s="1"/>
  <c r="BH70" i="5"/>
  <c r="CL57" i="5"/>
  <c r="DG57" i="5" s="1"/>
  <c r="BH57" i="5"/>
  <c r="CL94" i="5"/>
  <c r="DG94" i="5" s="1"/>
  <c r="BH94" i="5"/>
  <c r="CL31" i="5"/>
  <c r="DG31" i="5" s="1"/>
  <c r="BH31" i="5"/>
  <c r="CL22" i="5"/>
  <c r="DG22" i="5" s="1"/>
  <c r="BH22" i="5"/>
  <c r="CL83" i="5"/>
  <c r="DG83" i="5" s="1"/>
  <c r="BH83" i="5"/>
  <c r="BH88" i="5"/>
  <c r="CL88" i="5"/>
  <c r="DG88" i="5" s="1"/>
  <c r="CL67" i="5"/>
  <c r="DG67" i="5" s="1"/>
  <c r="BH67" i="5"/>
  <c r="CL74" i="5"/>
  <c r="DG74" i="5" s="1"/>
  <c r="BH74" i="5"/>
  <c r="CL23" i="5"/>
  <c r="DG23" i="5" s="1"/>
  <c r="BH23" i="5"/>
  <c r="CL92" i="5"/>
  <c r="DG92" i="5" s="1"/>
  <c r="BH92" i="5"/>
  <c r="CL96" i="5"/>
  <c r="DG96" i="5" s="1"/>
  <c r="BH96" i="5"/>
  <c r="CL68" i="5"/>
  <c r="DG68" i="5" s="1"/>
  <c r="BH68" i="5"/>
  <c r="CL61" i="5"/>
  <c r="DG61" i="5" s="1"/>
  <c r="BH61" i="5"/>
  <c r="CL81" i="5"/>
  <c r="DG81" i="5" s="1"/>
  <c r="BH81" i="5"/>
  <c r="CL46" i="5"/>
  <c r="DG46" i="5" s="1"/>
  <c r="BH46" i="5"/>
  <c r="CL77" i="5"/>
  <c r="DG77" i="5" s="1"/>
  <c r="BH77" i="5"/>
  <c r="CL62" i="5"/>
  <c r="DG62" i="5" s="1"/>
  <c r="BH62" i="5"/>
  <c r="CL48" i="5"/>
  <c r="DG48" i="5" s="1"/>
  <c r="BH48" i="5"/>
  <c r="CL41" i="5"/>
  <c r="DG41" i="5" s="1"/>
  <c r="BH41" i="5"/>
  <c r="CL39" i="5"/>
  <c r="DG39" i="5" s="1"/>
  <c r="BH39" i="5"/>
  <c r="CL58" i="5"/>
  <c r="DG58" i="5" s="1"/>
  <c r="BH58" i="5"/>
  <c r="CL37" i="5"/>
  <c r="DG37" i="5" s="1"/>
  <c r="BH37" i="5"/>
  <c r="CL55" i="5"/>
  <c r="DG55" i="5" s="1"/>
  <c r="BH55" i="5"/>
  <c r="CL78" i="5"/>
  <c r="DG78" i="5" s="1"/>
  <c r="BH78" i="5"/>
  <c r="CL54" i="5"/>
  <c r="DG54" i="5" s="1"/>
  <c r="BH54" i="5"/>
  <c r="CL99" i="5"/>
  <c r="DG99" i="5" s="1"/>
  <c r="BH99" i="5"/>
  <c r="CL82" i="5"/>
  <c r="DG82" i="5" s="1"/>
  <c r="BH82" i="5"/>
  <c r="CL102" i="5"/>
  <c r="DG102" i="5" s="1"/>
  <c r="BH102" i="5"/>
  <c r="CL34" i="5"/>
  <c r="DG34" i="5" s="1"/>
  <c r="BH34" i="5"/>
  <c r="CL7" i="5"/>
  <c r="DG7" i="5" s="1"/>
  <c r="BH7" i="5"/>
  <c r="CL16" i="5"/>
  <c r="DG16" i="5" s="1"/>
  <c r="BH16" i="5"/>
  <c r="CL12" i="5"/>
  <c r="DG12" i="5" s="1"/>
  <c r="BH12" i="5"/>
  <c r="CL6" i="5"/>
  <c r="DG6" i="5" s="1"/>
  <c r="BH6" i="5"/>
  <c r="CL101" i="5"/>
  <c r="DG101" i="5" s="1"/>
  <c r="BH101" i="5"/>
  <c r="CL19" i="5"/>
  <c r="DG19" i="5" s="1"/>
  <c r="BH19" i="5"/>
  <c r="CL95" i="5"/>
  <c r="DG95" i="5" s="1"/>
  <c r="BH95" i="5"/>
  <c r="CL71" i="5"/>
  <c r="DG71" i="5" s="1"/>
  <c r="BH71" i="5"/>
  <c r="CL35" i="5"/>
  <c r="DG35" i="5" s="1"/>
  <c r="BH35" i="5"/>
  <c r="CL97" i="5"/>
  <c r="DG97" i="5" s="1"/>
  <c r="BH97" i="5"/>
  <c r="CL18" i="5"/>
  <c r="DG18" i="5" s="1"/>
  <c r="BH18" i="5"/>
  <c r="CL63" i="5"/>
  <c r="DG63" i="5" s="1"/>
  <c r="BH63" i="5"/>
  <c r="CL75" i="5"/>
  <c r="DG75" i="5" s="1"/>
  <c r="BH75" i="5"/>
  <c r="CL65" i="5"/>
  <c r="DG65" i="5" s="1"/>
  <c r="BH65" i="5"/>
  <c r="CL107" i="5"/>
  <c r="DG107" i="5" s="1"/>
  <c r="BH107" i="5"/>
  <c r="CL32" i="5"/>
  <c r="DG32" i="5" s="1"/>
  <c r="BH32" i="5"/>
  <c r="CL38" i="5"/>
  <c r="DG38" i="5" s="1"/>
  <c r="BH38" i="5"/>
  <c r="CL40" i="5"/>
  <c r="DG40" i="5" s="1"/>
  <c r="BH40" i="5"/>
  <c r="CL60" i="5"/>
  <c r="DG60" i="5" s="1"/>
  <c r="BH60" i="5"/>
  <c r="CL84" i="5"/>
  <c r="DG84" i="5" s="1"/>
  <c r="BH84" i="5"/>
  <c r="AJ105" i="5"/>
  <c r="AR105" i="5" s="1"/>
  <c r="AJ97" i="5"/>
  <c r="AR97" i="5" s="1"/>
  <c r="AJ51" i="5"/>
  <c r="AR51" i="5" s="1"/>
  <c r="AJ100" i="5"/>
  <c r="AR100" i="5" s="1"/>
  <c r="AJ49" i="5"/>
  <c r="AR49" i="5" s="1"/>
  <c r="AJ94" i="5"/>
  <c r="AR94" i="5" s="1"/>
  <c r="AJ44" i="5"/>
  <c r="AR44" i="5" s="1"/>
  <c r="AJ55" i="5"/>
  <c r="AR55" i="5" s="1"/>
  <c r="AJ82" i="5"/>
  <c r="AR82" i="5" s="1"/>
  <c r="AJ95" i="5"/>
  <c r="AR95" i="5" s="1"/>
  <c r="AJ71" i="5"/>
  <c r="AR71" i="5" s="1"/>
  <c r="AJ47" i="5"/>
  <c r="AR47" i="5" s="1"/>
  <c r="AJ93" i="5"/>
  <c r="AR93" i="5" s="1"/>
  <c r="AJ70" i="5"/>
  <c r="AR70" i="5" s="1"/>
  <c r="AJ29" i="5"/>
  <c r="AR29" i="5" s="1"/>
  <c r="AJ4" i="5"/>
  <c r="AR4" i="5" s="1"/>
  <c r="AJ69" i="5"/>
  <c r="AR69" i="5" s="1"/>
  <c r="AJ33" i="5"/>
  <c r="AR33" i="5" s="1"/>
  <c r="AJ88" i="5"/>
  <c r="AR88" i="5" s="1"/>
  <c r="AJ23" i="5"/>
  <c r="AR23" i="5" s="1"/>
  <c r="AJ91" i="5"/>
  <c r="AR91" i="5" s="1"/>
  <c r="AJ84" i="5"/>
  <c r="AR84" i="5" s="1"/>
  <c r="AJ79" i="5"/>
  <c r="AR79" i="5" s="1"/>
  <c r="AJ62" i="5"/>
  <c r="AR62" i="5" s="1"/>
  <c r="AJ32" i="5"/>
  <c r="AR32" i="5" s="1"/>
  <c r="AJ50" i="5"/>
  <c r="AR50" i="5" s="1"/>
  <c r="AJ42" i="5"/>
  <c r="AR42" i="5" s="1"/>
  <c r="AJ27" i="5"/>
  <c r="AR27" i="5" s="1"/>
  <c r="AJ56" i="5"/>
  <c r="AR56" i="5" s="1"/>
  <c r="AJ11" i="5"/>
  <c r="AR11" i="5" s="1"/>
  <c r="AJ5" i="5"/>
  <c r="AR5" i="5" s="1"/>
  <c r="AJ90" i="5"/>
  <c r="AR90" i="5" s="1"/>
  <c r="AJ22" i="5"/>
  <c r="AR22" i="5" s="1"/>
  <c r="AJ18" i="5"/>
  <c r="AR18" i="5" s="1"/>
  <c r="AJ58" i="5"/>
  <c r="AR58" i="5" s="1"/>
  <c r="AJ46" i="5"/>
  <c r="AR46" i="5" s="1"/>
  <c r="AJ59" i="5"/>
  <c r="AR59" i="5" s="1"/>
  <c r="AJ96" i="5"/>
  <c r="AR96" i="5" s="1"/>
  <c r="AJ35" i="5"/>
  <c r="AR35" i="5" s="1"/>
  <c r="AJ99" i="5"/>
  <c r="AR99" i="5" s="1"/>
  <c r="AJ53" i="5"/>
  <c r="AR53" i="5" s="1"/>
  <c r="AJ52" i="5"/>
  <c r="AR52" i="5" s="1"/>
  <c r="AJ24" i="5"/>
  <c r="AR24" i="5" s="1"/>
  <c r="AJ38" i="5"/>
  <c r="AR38" i="5" s="1"/>
  <c r="AJ12" i="5"/>
  <c r="AR12" i="5" s="1"/>
  <c r="AJ39" i="5"/>
  <c r="AR39" i="5" s="1"/>
  <c r="AJ37" i="5"/>
  <c r="AR37" i="5" s="1"/>
  <c r="AJ8" i="5"/>
  <c r="AR8" i="5" s="1"/>
  <c r="AJ14" i="5"/>
  <c r="AR14" i="5" s="1"/>
  <c r="AJ7" i="5"/>
  <c r="AR7" i="5" s="1"/>
  <c r="AJ60" i="5"/>
  <c r="AR60" i="5" s="1"/>
  <c r="AJ21" i="5"/>
  <c r="AR21" i="5" s="1"/>
  <c r="AJ73" i="5"/>
  <c r="AR73" i="5" s="1"/>
  <c r="AJ30" i="5"/>
  <c r="AR30" i="5" s="1"/>
  <c r="AJ45" i="5"/>
  <c r="AR45" i="5" s="1"/>
  <c r="AJ98" i="5"/>
  <c r="AR98" i="5" s="1"/>
  <c r="AJ101" i="5"/>
  <c r="AR101" i="5" s="1"/>
  <c r="AJ43" i="5"/>
  <c r="AR43" i="5" s="1"/>
  <c r="AJ61" i="5"/>
  <c r="AR61" i="5" s="1"/>
  <c r="AJ89" i="5"/>
  <c r="AR89" i="5" s="1"/>
  <c r="AJ66" i="5"/>
  <c r="AR66" i="5" s="1"/>
  <c r="AJ65" i="5"/>
  <c r="AR65" i="5" s="1"/>
  <c r="AJ102" i="5"/>
  <c r="AR102" i="5" s="1"/>
  <c r="AJ10" i="5"/>
  <c r="AR10" i="5" s="1"/>
  <c r="AJ81" i="5"/>
  <c r="AR81" i="5" s="1"/>
  <c r="AJ34" i="5"/>
  <c r="AR34" i="5" s="1"/>
  <c r="AJ63" i="5"/>
  <c r="AR63" i="5" s="1"/>
  <c r="AJ15" i="5"/>
  <c r="AR15" i="5" s="1"/>
  <c r="AJ57" i="5"/>
  <c r="AR57" i="5" s="1"/>
  <c r="AJ54" i="5"/>
  <c r="AR54" i="5" s="1"/>
  <c r="AJ28" i="5"/>
  <c r="AR28" i="5" s="1"/>
  <c r="AJ72" i="5"/>
  <c r="AR72" i="5" s="1"/>
  <c r="AJ25" i="5"/>
  <c r="AR25" i="5" s="1"/>
  <c r="AJ75" i="5"/>
  <c r="AR75" i="5" s="1"/>
  <c r="AJ103" i="5"/>
  <c r="AR103" i="5" s="1"/>
  <c r="AJ26" i="5"/>
  <c r="AR26" i="5" s="1"/>
  <c r="AJ80" i="5"/>
  <c r="AR80" i="5" s="1"/>
  <c r="AJ87" i="5"/>
  <c r="AR87" i="5" s="1"/>
  <c r="AJ19" i="5"/>
  <c r="AR19" i="5" s="1"/>
  <c r="AJ36" i="5"/>
  <c r="AR36" i="5" s="1"/>
  <c r="AJ107" i="5"/>
  <c r="AR107" i="5" s="1"/>
  <c r="AJ77" i="5"/>
  <c r="AR77" i="5" s="1"/>
  <c r="AJ9" i="5"/>
  <c r="AR9" i="5" s="1"/>
  <c r="AJ13" i="5"/>
  <c r="AR13" i="5" s="1"/>
  <c r="AJ40" i="5"/>
  <c r="AR40" i="5" s="1"/>
  <c r="AJ48" i="5"/>
  <c r="AR48" i="5" s="1"/>
  <c r="AJ6" i="5"/>
  <c r="AR6" i="5" s="1"/>
  <c r="AJ16" i="5"/>
  <c r="AR16" i="5" s="1"/>
  <c r="AJ86" i="5"/>
  <c r="AR86" i="5" s="1"/>
  <c r="AJ85" i="5"/>
  <c r="AR85" i="5" s="1"/>
  <c r="AJ78" i="5"/>
  <c r="AR78" i="5" s="1"/>
  <c r="AJ68" i="5"/>
  <c r="AR68" i="5" s="1"/>
  <c r="AJ20" i="5"/>
  <c r="AR20" i="5" s="1"/>
  <c r="AJ76" i="5"/>
  <c r="AR76" i="5" s="1"/>
  <c r="AJ64" i="5"/>
  <c r="AR64" i="5" s="1"/>
  <c r="AJ92" i="5"/>
  <c r="AR92" i="5" s="1"/>
  <c r="AJ104" i="5"/>
  <c r="AR104" i="5" s="1"/>
  <c r="AJ31" i="5"/>
  <c r="AR31" i="5" s="1"/>
  <c r="AJ83" i="5"/>
  <c r="AR83" i="5" s="1"/>
  <c r="AJ67" i="5"/>
  <c r="AR67" i="5" s="1"/>
  <c r="AJ41" i="5"/>
  <c r="AR41" i="5" s="1"/>
  <c r="AJ106" i="5"/>
  <c r="AR106" i="5" s="1"/>
  <c r="AJ17" i="5"/>
  <c r="AR17" i="5" s="1"/>
  <c r="AJ74" i="5"/>
  <c r="AR74" i="5" s="1"/>
  <c r="AD107" i="5"/>
  <c r="AN93" i="5"/>
  <c r="AV93" i="5" s="1"/>
  <c r="AN78" i="5"/>
  <c r="AV78" i="5" s="1"/>
  <c r="AN19" i="5"/>
  <c r="AV19" i="5" s="1"/>
  <c r="AN53" i="5"/>
  <c r="AV53" i="5" s="1"/>
  <c r="AN102" i="5"/>
  <c r="AV102" i="5" s="1"/>
  <c r="AN33" i="5"/>
  <c r="AV33" i="5" s="1"/>
  <c r="AN40" i="5"/>
  <c r="AV40" i="5" s="1"/>
  <c r="AN74" i="5"/>
  <c r="AV74" i="5" s="1"/>
  <c r="AN81" i="5"/>
  <c r="AV81" i="5" s="1"/>
  <c r="AN89" i="5"/>
  <c r="AV89" i="5" s="1"/>
  <c r="AN91" i="5"/>
  <c r="AV91" i="5" s="1"/>
  <c r="AN84" i="5"/>
  <c r="AV84" i="5" s="1"/>
  <c r="AN76" i="5"/>
  <c r="AV76" i="5" s="1"/>
  <c r="AN43" i="5"/>
  <c r="AV43" i="5" s="1"/>
  <c r="AN77" i="5"/>
  <c r="AV77" i="5" s="1"/>
  <c r="AN22" i="5"/>
  <c r="AV22" i="5" s="1"/>
  <c r="AN95" i="5"/>
  <c r="AV95" i="5" s="1"/>
  <c r="AN41" i="5"/>
  <c r="AV41" i="5" s="1"/>
  <c r="AN71" i="5"/>
  <c r="AV71" i="5" s="1"/>
  <c r="AN50" i="5"/>
  <c r="AV50" i="5" s="1"/>
  <c r="AN94" i="5"/>
  <c r="AV94" i="5" s="1"/>
  <c r="AN90" i="5"/>
  <c r="AV90" i="5" s="1"/>
  <c r="AN83" i="5"/>
  <c r="AV83" i="5" s="1"/>
  <c r="AN16" i="5"/>
  <c r="AV16" i="5" s="1"/>
  <c r="AN64" i="5"/>
  <c r="AV64" i="5" s="1"/>
  <c r="AN42" i="5"/>
  <c r="AV42" i="5" s="1"/>
  <c r="AN21" i="5"/>
  <c r="AV21" i="5" s="1"/>
  <c r="AN18" i="5"/>
  <c r="AV18" i="5" s="1"/>
  <c r="AN11" i="5"/>
  <c r="AV11" i="5" s="1"/>
  <c r="AN101" i="5"/>
  <c r="AV101" i="5" s="1"/>
  <c r="AN57" i="5"/>
  <c r="AV57" i="5" s="1"/>
  <c r="AN96" i="5"/>
  <c r="AV96" i="5" s="1"/>
  <c r="AN86" i="5"/>
  <c r="AV86" i="5" s="1"/>
  <c r="AN45" i="5"/>
  <c r="AV45" i="5" s="1"/>
  <c r="AN79" i="5"/>
  <c r="AV79" i="5" s="1"/>
  <c r="AN69" i="5"/>
  <c r="AV69" i="5" s="1"/>
  <c r="AN66" i="5"/>
  <c r="AV66" i="5" s="1"/>
  <c r="AN46" i="5"/>
  <c r="AV46" i="5" s="1"/>
  <c r="AN8" i="5"/>
  <c r="AV8" i="5" s="1"/>
  <c r="AN63" i="5"/>
  <c r="AV63" i="5" s="1"/>
  <c r="AN35" i="5"/>
  <c r="AV35" i="5" s="1"/>
  <c r="AN72" i="5"/>
  <c r="AV72" i="5" s="1"/>
  <c r="AN23" i="5"/>
  <c r="AV23" i="5" s="1"/>
  <c r="AN56" i="5"/>
  <c r="AV56" i="5" s="1"/>
  <c r="AN14" i="5"/>
  <c r="AV14" i="5" s="1"/>
  <c r="AN58" i="5"/>
  <c r="AV58" i="5" s="1"/>
  <c r="AN52" i="5"/>
  <c r="AV52" i="5" s="1"/>
  <c r="AN54" i="5"/>
  <c r="AV54" i="5" s="1"/>
  <c r="AN107" i="5"/>
  <c r="AV107" i="5" s="1"/>
  <c r="AN27" i="5"/>
  <c r="AV27" i="5" s="1"/>
  <c r="AN26" i="5"/>
  <c r="AV26" i="5" s="1"/>
  <c r="AN60" i="5"/>
  <c r="AV60" i="5" s="1"/>
  <c r="AN47" i="5"/>
  <c r="AV47" i="5" s="1"/>
  <c r="AN105" i="5"/>
  <c r="AV105" i="5" s="1"/>
  <c r="AN104" i="5"/>
  <c r="AV104" i="5" s="1"/>
  <c r="AN100" i="5"/>
  <c r="AV100" i="5" s="1"/>
  <c r="AN103" i="5"/>
  <c r="AV103" i="5" s="1"/>
  <c r="AN88" i="5"/>
  <c r="AV88" i="5" s="1"/>
  <c r="AN31" i="5"/>
  <c r="AV31" i="5" s="1"/>
  <c r="AN44" i="5"/>
  <c r="AV44" i="5" s="1"/>
  <c r="AN12" i="5"/>
  <c r="AV12" i="5" s="1"/>
  <c r="AN24" i="5"/>
  <c r="AV24" i="5" s="1"/>
  <c r="AN80" i="5"/>
  <c r="AV80" i="5" s="1"/>
  <c r="AN82" i="5"/>
  <c r="AV82" i="5" s="1"/>
  <c r="AN65" i="5"/>
  <c r="AV65" i="5" s="1"/>
  <c r="AN51" i="5"/>
  <c r="AV51" i="5" s="1"/>
  <c r="AN106" i="5"/>
  <c r="AV106" i="5" s="1"/>
  <c r="AN20" i="5"/>
  <c r="AV20" i="5" s="1"/>
  <c r="AN10" i="5"/>
  <c r="AV10" i="5" s="1"/>
  <c r="AN17" i="5"/>
  <c r="AV17" i="5" s="1"/>
  <c r="AN39" i="5"/>
  <c r="AV39" i="5" s="1"/>
  <c r="AN92" i="5"/>
  <c r="AV92" i="5" s="1"/>
  <c r="AN38" i="5"/>
  <c r="AV38" i="5" s="1"/>
  <c r="AN28" i="5"/>
  <c r="AV28" i="5" s="1"/>
  <c r="AN4" i="5"/>
  <c r="AV4" i="5" s="1"/>
  <c r="AN55" i="5"/>
  <c r="AV55" i="5" s="1"/>
  <c r="AN6" i="5"/>
  <c r="AV6" i="5" s="1"/>
  <c r="AN34" i="5"/>
  <c r="AV34" i="5" s="1"/>
  <c r="AN13" i="5"/>
  <c r="AV13" i="5" s="1"/>
  <c r="AN5" i="5"/>
  <c r="AV5" i="5" s="1"/>
  <c r="AN97" i="5"/>
  <c r="AV97" i="5" s="1"/>
  <c r="AN32" i="5"/>
  <c r="AV32" i="5" s="1"/>
  <c r="AN29" i="5"/>
  <c r="AV29" i="5" s="1"/>
  <c r="AN85" i="5"/>
  <c r="AV85" i="5" s="1"/>
  <c r="AN62" i="5"/>
  <c r="AV62" i="5" s="1"/>
  <c r="AN9" i="5"/>
  <c r="AV9" i="5" s="1"/>
  <c r="AN7" i="5"/>
  <c r="AV7" i="5" s="1"/>
  <c r="AN98" i="5"/>
  <c r="AV98" i="5" s="1"/>
  <c r="AN68" i="5"/>
  <c r="AV68" i="5" s="1"/>
  <c r="AN87" i="5"/>
  <c r="AV87" i="5" s="1"/>
  <c r="AN59" i="5"/>
  <c r="AV59" i="5" s="1"/>
  <c r="AN67" i="5"/>
  <c r="AV67" i="5" s="1"/>
  <c r="AN30" i="5"/>
  <c r="AV30" i="5" s="1"/>
  <c r="AN75" i="5"/>
  <c r="AV75" i="5" s="1"/>
  <c r="AN36" i="5"/>
  <c r="AV36" i="5" s="1"/>
  <c r="AN49" i="5"/>
  <c r="AV49" i="5" s="1"/>
  <c r="AN25" i="5"/>
  <c r="AV25" i="5" s="1"/>
  <c r="AN61" i="5"/>
  <c r="AV61" i="5" s="1"/>
  <c r="AN73" i="5"/>
  <c r="AV73" i="5" s="1"/>
  <c r="AN70" i="5"/>
  <c r="AV70" i="5" s="1"/>
  <c r="AN15" i="5"/>
  <c r="AV15" i="5" s="1"/>
  <c r="AN99" i="5"/>
  <c r="AV99" i="5" s="1"/>
  <c r="AN48" i="5"/>
  <c r="AV48" i="5" s="1"/>
  <c r="AN37" i="5"/>
  <c r="AV37" i="5" s="1"/>
  <c r="AC107" i="5"/>
  <c r="DG4" i="5" l="1"/>
  <c r="CL1" i="5"/>
  <c r="CM62" i="5"/>
  <c r="DH62" i="5" s="1"/>
  <c r="BI62" i="5"/>
  <c r="CI76" i="5"/>
  <c r="DD76" i="5" s="1"/>
  <c r="BE76" i="5"/>
  <c r="CI54" i="5"/>
  <c r="DD54" i="5" s="1"/>
  <c r="BE54" i="5"/>
  <c r="CI43" i="5"/>
  <c r="DD43" i="5" s="1"/>
  <c r="BE43" i="5"/>
  <c r="CI39" i="5"/>
  <c r="DD39" i="5" s="1"/>
  <c r="BE39" i="5"/>
  <c r="CI18" i="5"/>
  <c r="DD18" i="5" s="1"/>
  <c r="BE18" i="5"/>
  <c r="CI84" i="5"/>
  <c r="DD84" i="5" s="1"/>
  <c r="BE84" i="5"/>
  <c r="CI95" i="5"/>
  <c r="DD95" i="5" s="1"/>
  <c r="BE95" i="5"/>
  <c r="CM76" i="5"/>
  <c r="DH76" i="5" s="1"/>
  <c r="BI76" i="5"/>
  <c r="CM85" i="5"/>
  <c r="DH85" i="5" s="1"/>
  <c r="BI85" i="5"/>
  <c r="BI92" i="5"/>
  <c r="CM92" i="5"/>
  <c r="DH92" i="5" s="1"/>
  <c r="CM44" i="5"/>
  <c r="DH44" i="5" s="1"/>
  <c r="BI44" i="5"/>
  <c r="CM54" i="5"/>
  <c r="DH54" i="5" s="1"/>
  <c r="BI54" i="5"/>
  <c r="CM69" i="5"/>
  <c r="DH69" i="5" s="1"/>
  <c r="BI69" i="5"/>
  <c r="CM16" i="5"/>
  <c r="DH16" i="5" s="1"/>
  <c r="BI16" i="5"/>
  <c r="CM84" i="5"/>
  <c r="DH84" i="5" s="1"/>
  <c r="BI84" i="5"/>
  <c r="CI20" i="5"/>
  <c r="DD20" i="5" s="1"/>
  <c r="BE20" i="5"/>
  <c r="CI107" i="5"/>
  <c r="DD107" i="5" s="1"/>
  <c r="BE107" i="5"/>
  <c r="CI57" i="5"/>
  <c r="DD57" i="5" s="1"/>
  <c r="BE57" i="5"/>
  <c r="CI101" i="5"/>
  <c r="DD101" i="5" s="1"/>
  <c r="BE101" i="5"/>
  <c r="CI12" i="5"/>
  <c r="DD12" i="5" s="1"/>
  <c r="BE12" i="5"/>
  <c r="CI22" i="5"/>
  <c r="DD22" i="5" s="1"/>
  <c r="BE22" i="5"/>
  <c r="CI91" i="5"/>
  <c r="DD91" i="5" s="1"/>
  <c r="BE91" i="5"/>
  <c r="CI82" i="5"/>
  <c r="DD82" i="5" s="1"/>
  <c r="BE82" i="5"/>
  <c r="CM64" i="5"/>
  <c r="DH64" i="5" s="1"/>
  <c r="BI64" i="5"/>
  <c r="CM36" i="5"/>
  <c r="DH36" i="5" s="1"/>
  <c r="BI36" i="5"/>
  <c r="CM52" i="5"/>
  <c r="DH52" i="5" s="1"/>
  <c r="BI52" i="5"/>
  <c r="CM79" i="5"/>
  <c r="DH79" i="5" s="1"/>
  <c r="BI79" i="5"/>
  <c r="CM83" i="5"/>
  <c r="DH83" i="5" s="1"/>
  <c r="BI83" i="5"/>
  <c r="BI91" i="5"/>
  <c r="CM91" i="5"/>
  <c r="DH91" i="5" s="1"/>
  <c r="CI74" i="5"/>
  <c r="DD74" i="5" s="1"/>
  <c r="BE74" i="5"/>
  <c r="CI68" i="5"/>
  <c r="DD68" i="5" s="1"/>
  <c r="BE68" i="5"/>
  <c r="CI36" i="5"/>
  <c r="DD36" i="5" s="1"/>
  <c r="BE36" i="5"/>
  <c r="CI15" i="5"/>
  <c r="DD15" i="5" s="1"/>
  <c r="BE15" i="5"/>
  <c r="CI98" i="5"/>
  <c r="DD98" i="5" s="1"/>
  <c r="BE98" i="5"/>
  <c r="CI38" i="5"/>
  <c r="DD38" i="5" s="1"/>
  <c r="BE38" i="5"/>
  <c r="CI90" i="5"/>
  <c r="DD90" i="5" s="1"/>
  <c r="BE90" i="5"/>
  <c r="BE23" i="5"/>
  <c r="CI23" i="5"/>
  <c r="DD23" i="5" s="1"/>
  <c r="CI55" i="5"/>
  <c r="DD55" i="5" s="1"/>
  <c r="BE55" i="5"/>
  <c r="CI77" i="5"/>
  <c r="DD77" i="5" s="1"/>
  <c r="BE77" i="5"/>
  <c r="CM39" i="5"/>
  <c r="DH39" i="5" s="1"/>
  <c r="BI39" i="5"/>
  <c r="CM17" i="5"/>
  <c r="DH17" i="5" s="1"/>
  <c r="BI17" i="5"/>
  <c r="CM45" i="5"/>
  <c r="DH45" i="5" s="1"/>
  <c r="BI45" i="5"/>
  <c r="CM90" i="5"/>
  <c r="DH90" i="5" s="1"/>
  <c r="BI90" i="5"/>
  <c r="CM89" i="5"/>
  <c r="DH89" i="5" s="1"/>
  <c r="BI89" i="5"/>
  <c r="CI17" i="5"/>
  <c r="DD17" i="5" s="1"/>
  <c r="BE17" i="5"/>
  <c r="CI78" i="5"/>
  <c r="DD78" i="5" s="1"/>
  <c r="BE78" i="5"/>
  <c r="CI19" i="5"/>
  <c r="DD19" i="5" s="1"/>
  <c r="BE19" i="5"/>
  <c r="CI63" i="5"/>
  <c r="DD63" i="5" s="1"/>
  <c r="BE63" i="5"/>
  <c r="CI45" i="5"/>
  <c r="DD45" i="5" s="1"/>
  <c r="BE45" i="5"/>
  <c r="CI24" i="5"/>
  <c r="DD24" i="5" s="1"/>
  <c r="BE24" i="5"/>
  <c r="CI5" i="5"/>
  <c r="DD5" i="5" s="1"/>
  <c r="BE5" i="5"/>
  <c r="CI88" i="5"/>
  <c r="DD88" i="5" s="1"/>
  <c r="BE88" i="5"/>
  <c r="CI44" i="5"/>
  <c r="DD44" i="5" s="1"/>
  <c r="BE44" i="5"/>
  <c r="CM66" i="5"/>
  <c r="DH66" i="5" s="1"/>
  <c r="BI66" i="5"/>
  <c r="CM49" i="5"/>
  <c r="DH49" i="5" s="1"/>
  <c r="BI49" i="5"/>
  <c r="CM31" i="5"/>
  <c r="DH31" i="5" s="1"/>
  <c r="BI31" i="5"/>
  <c r="CM32" i="5"/>
  <c r="DH32" i="5" s="1"/>
  <c r="BI32" i="5"/>
  <c r="CM58" i="5"/>
  <c r="DH58" i="5" s="1"/>
  <c r="BI58" i="5"/>
  <c r="CM30" i="5"/>
  <c r="DH30" i="5" s="1"/>
  <c r="BI30" i="5"/>
  <c r="CM97" i="5"/>
  <c r="DH97" i="5" s="1"/>
  <c r="BI97" i="5"/>
  <c r="CM10" i="5"/>
  <c r="DH10" i="5" s="1"/>
  <c r="BI10" i="5"/>
  <c r="CM103" i="5"/>
  <c r="DH103" i="5" s="1"/>
  <c r="BI103" i="5"/>
  <c r="CM14" i="5"/>
  <c r="DH14" i="5" s="1"/>
  <c r="BI14" i="5"/>
  <c r="CM86" i="5"/>
  <c r="DH86" i="5" s="1"/>
  <c r="BI86" i="5"/>
  <c r="CM94" i="5"/>
  <c r="DH94" i="5" s="1"/>
  <c r="BI94" i="5"/>
  <c r="BI81" i="5"/>
  <c r="CM81" i="5"/>
  <c r="DH81" i="5" s="1"/>
  <c r="CI106" i="5"/>
  <c r="DD106" i="5" s="1"/>
  <c r="BE106" i="5"/>
  <c r="BE85" i="5"/>
  <c r="CI85" i="5"/>
  <c r="DD85" i="5" s="1"/>
  <c r="CI87" i="5"/>
  <c r="DD87" i="5" s="1"/>
  <c r="BE87" i="5"/>
  <c r="CI34" i="5"/>
  <c r="DD34" i="5" s="1"/>
  <c r="BE34" i="5"/>
  <c r="CI30" i="5"/>
  <c r="DD30" i="5" s="1"/>
  <c r="BE30" i="5"/>
  <c r="CI52" i="5"/>
  <c r="DD52" i="5" s="1"/>
  <c r="BE52" i="5"/>
  <c r="CI11" i="5"/>
  <c r="DD11" i="5" s="1"/>
  <c r="BE11" i="5"/>
  <c r="CI33" i="5"/>
  <c r="DD33" i="5" s="1"/>
  <c r="BE33" i="5"/>
  <c r="CI94" i="5"/>
  <c r="DD94" i="5" s="1"/>
  <c r="BE94" i="5"/>
  <c r="BI93" i="5"/>
  <c r="CM93" i="5"/>
  <c r="DH93" i="5" s="1"/>
  <c r="CM29" i="5"/>
  <c r="DH29" i="5" s="1"/>
  <c r="BI29" i="5"/>
  <c r="CM75" i="5"/>
  <c r="DH75" i="5" s="1"/>
  <c r="BI75" i="5"/>
  <c r="CM88" i="5"/>
  <c r="DH88" i="5" s="1"/>
  <c r="BI88" i="5"/>
  <c r="CM37" i="5"/>
  <c r="DH37" i="5" s="1"/>
  <c r="BI37" i="5"/>
  <c r="CM67" i="5"/>
  <c r="DH67" i="5" s="1"/>
  <c r="BI67" i="5"/>
  <c r="CM5" i="5"/>
  <c r="DH5" i="5" s="1"/>
  <c r="BI5" i="5"/>
  <c r="CM20" i="5"/>
  <c r="DH20" i="5" s="1"/>
  <c r="BI20" i="5"/>
  <c r="CM100" i="5"/>
  <c r="DH100" i="5" s="1"/>
  <c r="BI100" i="5"/>
  <c r="CM56" i="5"/>
  <c r="DH56" i="5" s="1"/>
  <c r="BI56" i="5"/>
  <c r="BI96" i="5"/>
  <c r="CM96" i="5"/>
  <c r="DH96" i="5" s="1"/>
  <c r="CM50" i="5"/>
  <c r="DH50" i="5" s="1"/>
  <c r="BI50" i="5"/>
  <c r="CM74" i="5"/>
  <c r="DH74" i="5" s="1"/>
  <c r="BI74" i="5"/>
  <c r="CI41" i="5"/>
  <c r="DD41" i="5" s="1"/>
  <c r="BE41" i="5"/>
  <c r="CI86" i="5"/>
  <c r="DD86" i="5" s="1"/>
  <c r="BE86" i="5"/>
  <c r="CI80" i="5"/>
  <c r="DD80" i="5" s="1"/>
  <c r="BE80" i="5"/>
  <c r="CI81" i="5"/>
  <c r="DD81" i="5" s="1"/>
  <c r="BE81" i="5"/>
  <c r="BE73" i="5"/>
  <c r="CI73" i="5"/>
  <c r="DD73" i="5" s="1"/>
  <c r="CI53" i="5"/>
  <c r="DD53" i="5" s="1"/>
  <c r="BE53" i="5"/>
  <c r="CI56" i="5"/>
  <c r="DD56" i="5" s="1"/>
  <c r="BE56" i="5"/>
  <c r="CI69" i="5"/>
  <c r="DD69" i="5" s="1"/>
  <c r="BE69" i="5"/>
  <c r="CI49" i="5"/>
  <c r="DD49" i="5" s="1"/>
  <c r="BE49" i="5"/>
  <c r="CM12" i="5"/>
  <c r="DH12" i="5" s="1"/>
  <c r="BI12" i="5"/>
  <c r="CM13" i="5"/>
  <c r="DH13" i="5" s="1"/>
  <c r="BI13" i="5"/>
  <c r="CM106" i="5"/>
  <c r="DH106" i="5" s="1"/>
  <c r="BI106" i="5"/>
  <c r="CM104" i="5"/>
  <c r="DH104" i="5" s="1"/>
  <c r="BI104" i="5"/>
  <c r="CM23" i="5"/>
  <c r="DH23" i="5" s="1"/>
  <c r="BI23" i="5"/>
  <c r="CM57" i="5"/>
  <c r="DH57" i="5" s="1"/>
  <c r="BI57" i="5"/>
  <c r="CM71" i="5"/>
  <c r="DH71" i="5" s="1"/>
  <c r="BI71" i="5"/>
  <c r="CM40" i="5"/>
  <c r="DH40" i="5" s="1"/>
  <c r="BI40" i="5"/>
  <c r="CI67" i="5"/>
  <c r="DD67" i="5" s="1"/>
  <c r="BE67" i="5"/>
  <c r="CI16" i="5"/>
  <c r="DD16" i="5" s="1"/>
  <c r="BE16" i="5"/>
  <c r="CI26" i="5"/>
  <c r="DD26" i="5" s="1"/>
  <c r="BE26" i="5"/>
  <c r="CI10" i="5"/>
  <c r="DD10" i="5" s="1"/>
  <c r="BE10" i="5"/>
  <c r="CI21" i="5"/>
  <c r="DD21" i="5" s="1"/>
  <c r="BE21" i="5"/>
  <c r="CI99" i="5"/>
  <c r="DD99" i="5" s="1"/>
  <c r="BE99" i="5"/>
  <c r="CI27" i="5"/>
  <c r="DD27" i="5" s="1"/>
  <c r="BE27" i="5"/>
  <c r="CI4" i="5"/>
  <c r="BE4" i="5"/>
  <c r="CI100" i="5"/>
  <c r="DD100" i="5" s="1"/>
  <c r="BE100" i="5"/>
  <c r="CM38" i="5"/>
  <c r="DH38" i="5" s="1"/>
  <c r="BI38" i="5"/>
  <c r="CM87" i="5"/>
  <c r="DH87" i="5" s="1"/>
  <c r="BI87" i="5"/>
  <c r="CM34" i="5"/>
  <c r="DH34" i="5" s="1"/>
  <c r="BI34" i="5"/>
  <c r="CM51" i="5"/>
  <c r="DH51" i="5" s="1"/>
  <c r="BI51" i="5"/>
  <c r="CM105" i="5"/>
  <c r="DH105" i="5" s="1"/>
  <c r="BI105" i="5"/>
  <c r="CM72" i="5"/>
  <c r="DH72" i="5" s="1"/>
  <c r="BI72" i="5"/>
  <c r="CM101" i="5"/>
  <c r="DH101" i="5" s="1"/>
  <c r="BI101" i="5"/>
  <c r="CM41" i="5"/>
  <c r="DH41" i="5" s="1"/>
  <c r="BI41" i="5"/>
  <c r="BI33" i="5"/>
  <c r="CM33" i="5"/>
  <c r="DH33" i="5" s="1"/>
  <c r="CI83" i="5"/>
  <c r="DD83" i="5" s="1"/>
  <c r="BE83" i="5"/>
  <c r="CI6" i="5"/>
  <c r="DD6" i="5" s="1"/>
  <c r="BE6" i="5"/>
  <c r="BE103" i="5"/>
  <c r="CI103" i="5"/>
  <c r="DD103" i="5" s="1"/>
  <c r="CI102" i="5"/>
  <c r="DD102" i="5" s="1"/>
  <c r="BE102" i="5"/>
  <c r="CI60" i="5"/>
  <c r="DD60" i="5" s="1"/>
  <c r="BE60" i="5"/>
  <c r="CI35" i="5"/>
  <c r="DD35" i="5" s="1"/>
  <c r="BE35" i="5"/>
  <c r="CI42" i="5"/>
  <c r="DD42" i="5" s="1"/>
  <c r="BE42" i="5"/>
  <c r="CI29" i="5"/>
  <c r="DD29" i="5" s="1"/>
  <c r="BE29" i="5"/>
  <c r="CI51" i="5"/>
  <c r="DD51" i="5" s="1"/>
  <c r="BE51" i="5"/>
  <c r="CM25" i="5"/>
  <c r="DH25" i="5" s="1"/>
  <c r="BI25" i="5"/>
  <c r="CM99" i="5"/>
  <c r="DH99" i="5" s="1"/>
  <c r="BI99" i="5"/>
  <c r="CM6" i="5"/>
  <c r="DH6" i="5" s="1"/>
  <c r="BI6" i="5"/>
  <c r="CM65" i="5"/>
  <c r="DH65" i="5" s="1"/>
  <c r="BI65" i="5"/>
  <c r="CM47" i="5"/>
  <c r="DH47" i="5" s="1"/>
  <c r="BI47" i="5"/>
  <c r="CM35" i="5"/>
  <c r="DH35" i="5" s="1"/>
  <c r="BI35" i="5"/>
  <c r="CM11" i="5"/>
  <c r="DH11" i="5" s="1"/>
  <c r="BI11" i="5"/>
  <c r="CM95" i="5"/>
  <c r="DH95" i="5" s="1"/>
  <c r="BI95" i="5"/>
  <c r="CM102" i="5"/>
  <c r="DH102" i="5" s="1"/>
  <c r="BI102" i="5"/>
  <c r="CI31" i="5"/>
  <c r="DD31" i="5" s="1"/>
  <c r="BE31" i="5"/>
  <c r="CI48" i="5"/>
  <c r="DD48" i="5" s="1"/>
  <c r="BE48" i="5"/>
  <c r="CI75" i="5"/>
  <c r="DD75" i="5" s="1"/>
  <c r="BE75" i="5"/>
  <c r="BE65" i="5"/>
  <c r="CI65" i="5"/>
  <c r="DD65" i="5" s="1"/>
  <c r="CI7" i="5"/>
  <c r="DD7" i="5" s="1"/>
  <c r="BE7" i="5"/>
  <c r="CI96" i="5"/>
  <c r="DD96" i="5" s="1"/>
  <c r="BE96" i="5"/>
  <c r="CI50" i="5"/>
  <c r="DD50" i="5" s="1"/>
  <c r="BE50" i="5"/>
  <c r="CI70" i="5"/>
  <c r="DD70" i="5" s="1"/>
  <c r="BE70" i="5"/>
  <c r="CI97" i="5"/>
  <c r="DD97" i="5" s="1"/>
  <c r="BE97" i="5"/>
  <c r="CM59" i="5"/>
  <c r="DH59" i="5" s="1"/>
  <c r="BI59" i="5"/>
  <c r="BI68" i="5"/>
  <c r="CM68" i="5"/>
  <c r="DH68" i="5" s="1"/>
  <c r="CM98" i="5"/>
  <c r="DH98" i="5" s="1"/>
  <c r="BI98" i="5"/>
  <c r="CM82" i="5"/>
  <c r="DH82" i="5" s="1"/>
  <c r="BI82" i="5"/>
  <c r="CM63" i="5"/>
  <c r="DH63" i="5" s="1"/>
  <c r="BI63" i="5"/>
  <c r="CM18" i="5"/>
  <c r="DH18" i="5" s="1"/>
  <c r="BI18" i="5"/>
  <c r="CM22" i="5"/>
  <c r="DH22" i="5" s="1"/>
  <c r="BI22" i="5"/>
  <c r="CM53" i="5"/>
  <c r="DH53" i="5" s="1"/>
  <c r="BI53" i="5"/>
  <c r="CI104" i="5"/>
  <c r="DD104" i="5" s="1"/>
  <c r="BE104" i="5"/>
  <c r="CI40" i="5"/>
  <c r="DD40" i="5" s="1"/>
  <c r="BE40" i="5"/>
  <c r="CI25" i="5"/>
  <c r="DD25" i="5" s="1"/>
  <c r="BE25" i="5"/>
  <c r="CI66" i="5"/>
  <c r="DD66" i="5" s="1"/>
  <c r="BE66" i="5"/>
  <c r="CI14" i="5"/>
  <c r="DD14" i="5" s="1"/>
  <c r="BE14" i="5"/>
  <c r="CI59" i="5"/>
  <c r="DD59" i="5" s="1"/>
  <c r="BE59" i="5"/>
  <c r="BE32" i="5"/>
  <c r="CI32" i="5"/>
  <c r="DD32" i="5" s="1"/>
  <c r="CI93" i="5"/>
  <c r="DD93" i="5" s="1"/>
  <c r="BE93" i="5"/>
  <c r="BE105" i="5"/>
  <c r="CI105" i="5"/>
  <c r="DD105" i="5" s="1"/>
  <c r="CM48" i="5"/>
  <c r="DH48" i="5" s="1"/>
  <c r="BI48" i="5"/>
  <c r="CM15" i="5"/>
  <c r="DH15" i="5" s="1"/>
  <c r="BI15" i="5"/>
  <c r="CM70" i="5"/>
  <c r="DH70" i="5" s="1"/>
  <c r="BI70" i="5"/>
  <c r="CM55" i="5"/>
  <c r="DH55" i="5" s="1"/>
  <c r="BI55" i="5"/>
  <c r="BI60" i="5"/>
  <c r="CM60" i="5"/>
  <c r="DH60" i="5" s="1"/>
  <c r="CM73" i="5"/>
  <c r="DH73" i="5" s="1"/>
  <c r="BI73" i="5"/>
  <c r="CM7" i="5"/>
  <c r="DH7" i="5" s="1"/>
  <c r="BI7" i="5"/>
  <c r="CM4" i="5"/>
  <c r="BI4" i="5"/>
  <c r="CM80" i="5"/>
  <c r="DH80" i="5" s="1"/>
  <c r="BI80" i="5"/>
  <c r="CM26" i="5"/>
  <c r="DH26" i="5" s="1"/>
  <c r="BI26" i="5"/>
  <c r="CM8" i="5"/>
  <c r="DH8" i="5" s="1"/>
  <c r="BI8" i="5"/>
  <c r="CM21" i="5"/>
  <c r="DH21" i="5" s="1"/>
  <c r="BI21" i="5"/>
  <c r="CM77" i="5"/>
  <c r="DH77" i="5" s="1"/>
  <c r="BI77" i="5"/>
  <c r="CM19" i="5"/>
  <c r="DH19" i="5" s="1"/>
  <c r="BI19" i="5"/>
  <c r="CI92" i="5"/>
  <c r="DD92" i="5" s="1"/>
  <c r="BE92" i="5"/>
  <c r="CI13" i="5"/>
  <c r="DD13" i="5" s="1"/>
  <c r="BE13" i="5"/>
  <c r="CI72" i="5"/>
  <c r="DD72" i="5" s="1"/>
  <c r="BE72" i="5"/>
  <c r="BE89" i="5"/>
  <c r="CI89" i="5"/>
  <c r="DD89" i="5" s="1"/>
  <c r="CI8" i="5"/>
  <c r="DD8" i="5" s="1"/>
  <c r="BE8" i="5"/>
  <c r="CI46" i="5"/>
  <c r="DD46" i="5" s="1"/>
  <c r="BE46" i="5"/>
  <c r="CI62" i="5"/>
  <c r="DD62" i="5" s="1"/>
  <c r="BE62" i="5"/>
  <c r="CI47" i="5"/>
  <c r="DD47" i="5" s="1"/>
  <c r="BE47" i="5"/>
  <c r="CM107" i="5"/>
  <c r="DH107" i="5" s="1"/>
  <c r="BI107" i="5"/>
  <c r="CM61" i="5"/>
  <c r="DH61" i="5" s="1"/>
  <c r="BI61" i="5"/>
  <c r="CM9" i="5"/>
  <c r="DH9" i="5" s="1"/>
  <c r="BI9" i="5"/>
  <c r="CM28" i="5"/>
  <c r="DH28" i="5" s="1"/>
  <c r="BI28" i="5"/>
  <c r="CM24" i="5"/>
  <c r="DH24" i="5" s="1"/>
  <c r="BI24" i="5"/>
  <c r="CM27" i="5"/>
  <c r="DH27" i="5" s="1"/>
  <c r="BI27" i="5"/>
  <c r="CM46" i="5"/>
  <c r="DH46" i="5" s="1"/>
  <c r="BI46" i="5"/>
  <c r="BI42" i="5"/>
  <c r="CM42" i="5"/>
  <c r="DH42" i="5" s="1"/>
  <c r="CM43" i="5"/>
  <c r="DH43" i="5" s="1"/>
  <c r="BI43" i="5"/>
  <c r="CM78" i="5"/>
  <c r="DH78" i="5" s="1"/>
  <c r="BI78" i="5"/>
  <c r="CI64" i="5"/>
  <c r="DD64" i="5" s="1"/>
  <c r="BE64" i="5"/>
  <c r="CI9" i="5"/>
  <c r="DD9" i="5" s="1"/>
  <c r="BE9" i="5"/>
  <c r="CI28" i="5"/>
  <c r="DD28" i="5" s="1"/>
  <c r="BE28" i="5"/>
  <c r="CI61" i="5"/>
  <c r="DD61" i="5" s="1"/>
  <c r="BE61" i="5"/>
  <c r="CI37" i="5"/>
  <c r="DD37" i="5" s="1"/>
  <c r="BE37" i="5"/>
  <c r="CI58" i="5"/>
  <c r="DD58" i="5" s="1"/>
  <c r="BE58" i="5"/>
  <c r="CI79" i="5"/>
  <c r="DD79" i="5" s="1"/>
  <c r="BE79" i="5"/>
  <c r="CI71" i="5"/>
  <c r="DD71" i="5" s="1"/>
  <c r="BE71" i="5"/>
  <c r="DG2" i="5"/>
  <c r="AK54" i="5"/>
  <c r="AS54" i="5" s="1"/>
  <c r="AK79" i="5"/>
  <c r="AS79" i="5" s="1"/>
  <c r="AK103" i="5"/>
  <c r="AS103" i="5" s="1"/>
  <c r="AK25" i="5"/>
  <c r="AS25" i="5" s="1"/>
  <c r="AK52" i="5"/>
  <c r="AS52" i="5" s="1"/>
  <c r="AK100" i="5"/>
  <c r="AS100" i="5" s="1"/>
  <c r="AK87" i="5"/>
  <c r="AS87" i="5" s="1"/>
  <c r="AK69" i="5"/>
  <c r="AS69" i="5" s="1"/>
  <c r="AK105" i="5"/>
  <c r="AS105" i="5" s="1"/>
  <c r="AK86" i="5"/>
  <c r="AS86" i="5" s="1"/>
  <c r="AK99" i="5"/>
  <c r="AS99" i="5" s="1"/>
  <c r="AK57" i="5"/>
  <c r="AS57" i="5" s="1"/>
  <c r="AK4" i="5"/>
  <c r="AS4" i="5" s="1"/>
  <c r="AK19" i="5"/>
  <c r="AS19" i="5" s="1"/>
  <c r="AK24" i="5"/>
  <c r="AS24" i="5" s="1"/>
  <c r="AK92" i="5"/>
  <c r="AS92" i="5" s="1"/>
  <c r="AK47" i="5"/>
  <c r="AS47" i="5" s="1"/>
  <c r="AK94" i="5"/>
  <c r="AS94" i="5" s="1"/>
  <c r="AK55" i="5"/>
  <c r="AS55" i="5" s="1"/>
  <c r="AK84" i="5"/>
  <c r="AS84" i="5" s="1"/>
  <c r="AK38" i="5"/>
  <c r="AS38" i="5" s="1"/>
  <c r="AK98" i="5"/>
  <c r="AS98" i="5" s="1"/>
  <c r="AK95" i="5"/>
  <c r="AS95" i="5" s="1"/>
  <c r="AK65" i="5"/>
  <c r="AS65" i="5" s="1"/>
  <c r="AK72" i="5"/>
  <c r="AS72" i="5" s="1"/>
  <c r="AK71" i="5"/>
  <c r="AS71" i="5" s="1"/>
  <c r="AK22" i="5"/>
  <c r="AS22" i="5" s="1"/>
  <c r="AK9" i="5"/>
  <c r="AS9" i="5" s="1"/>
  <c r="AK8" i="5"/>
  <c r="AS8" i="5" s="1"/>
  <c r="AK56" i="5"/>
  <c r="AS56" i="5" s="1"/>
  <c r="AK37" i="5"/>
  <c r="AS37" i="5" s="1"/>
  <c r="AK7" i="5"/>
  <c r="AS7" i="5" s="1"/>
  <c r="AK82" i="5"/>
  <c r="AS82" i="5" s="1"/>
  <c r="AK50" i="5"/>
  <c r="AS50" i="5" s="1"/>
  <c r="AK106" i="5"/>
  <c r="AS106" i="5" s="1"/>
  <c r="AK46" i="5"/>
  <c r="AS46" i="5" s="1"/>
  <c r="AK49" i="5"/>
  <c r="AS49" i="5" s="1"/>
  <c r="AK30" i="5"/>
  <c r="AS30" i="5" s="1"/>
  <c r="AK58" i="5"/>
  <c r="AS58" i="5" s="1"/>
  <c r="AK35" i="5"/>
  <c r="AS35" i="5" s="1"/>
  <c r="AK62" i="5"/>
  <c r="AS62" i="5" s="1"/>
  <c r="AK89" i="5"/>
  <c r="AS89" i="5" s="1"/>
  <c r="AK51" i="5"/>
  <c r="AS51" i="5" s="1"/>
  <c r="AK78" i="5"/>
  <c r="AS78" i="5" s="1"/>
  <c r="AK20" i="5"/>
  <c r="AS20" i="5" s="1"/>
  <c r="AK41" i="5"/>
  <c r="AS41" i="5" s="1"/>
  <c r="AK28" i="5"/>
  <c r="AS28" i="5" s="1"/>
  <c r="AK88" i="5"/>
  <c r="AS88" i="5" s="1"/>
  <c r="AK42" i="5"/>
  <c r="AS42" i="5" s="1"/>
  <c r="AK44" i="5"/>
  <c r="AS44" i="5" s="1"/>
  <c r="AK32" i="5"/>
  <c r="AS32" i="5" s="1"/>
  <c r="AK26" i="5"/>
  <c r="AS26" i="5" s="1"/>
  <c r="AK70" i="5"/>
  <c r="AS70" i="5" s="1"/>
  <c r="AK102" i="5"/>
  <c r="AS102" i="5" s="1"/>
  <c r="AK45" i="5"/>
  <c r="AS45" i="5" s="1"/>
  <c r="AK96" i="5"/>
  <c r="AS96" i="5" s="1"/>
  <c r="AK61" i="5"/>
  <c r="AS61" i="5" s="1"/>
  <c r="AK18" i="5"/>
  <c r="AS18" i="5" s="1"/>
  <c r="AK74" i="5"/>
  <c r="AS74" i="5" s="1"/>
  <c r="AK67" i="5"/>
  <c r="AS67" i="5" s="1"/>
  <c r="AK53" i="5"/>
  <c r="AS53" i="5" s="1"/>
  <c r="AK83" i="5"/>
  <c r="AS83" i="5" s="1"/>
  <c r="AK11" i="5"/>
  <c r="AS11" i="5" s="1"/>
  <c r="AK13" i="5"/>
  <c r="AS13" i="5" s="1"/>
  <c r="AK73" i="5"/>
  <c r="AS73" i="5" s="1"/>
  <c r="AK93" i="5"/>
  <c r="AS93" i="5" s="1"/>
  <c r="AK85" i="5"/>
  <c r="AS85" i="5" s="1"/>
  <c r="AK15" i="5"/>
  <c r="AS15" i="5" s="1"/>
  <c r="AK16" i="5"/>
  <c r="AS16" i="5" s="1"/>
  <c r="AK104" i="5"/>
  <c r="AS104" i="5" s="1"/>
  <c r="AK97" i="5"/>
  <c r="AS97" i="5" s="1"/>
  <c r="AK80" i="5"/>
  <c r="AS80" i="5" s="1"/>
  <c r="AK5" i="5"/>
  <c r="AS5" i="5" s="1"/>
  <c r="AK10" i="5"/>
  <c r="AS10" i="5" s="1"/>
  <c r="AK17" i="5"/>
  <c r="AS17" i="5" s="1"/>
  <c r="AK68" i="5"/>
  <c r="AS68" i="5" s="1"/>
  <c r="AK101" i="5"/>
  <c r="AS101" i="5" s="1"/>
  <c r="AK39" i="5"/>
  <c r="AS39" i="5" s="1"/>
  <c r="AK34" i="5"/>
  <c r="AS34" i="5" s="1"/>
  <c r="AK90" i="5"/>
  <c r="AS90" i="5" s="1"/>
  <c r="AK63" i="5"/>
  <c r="AS63" i="5" s="1"/>
  <c r="AK77" i="5"/>
  <c r="AS77" i="5" s="1"/>
  <c r="AK31" i="5"/>
  <c r="AS31" i="5" s="1"/>
  <c r="AK43" i="5"/>
  <c r="AS43" i="5" s="1"/>
  <c r="AK64" i="5"/>
  <c r="AS64" i="5" s="1"/>
  <c r="AK36" i="5"/>
  <c r="AS36" i="5" s="1"/>
  <c r="AK23" i="5"/>
  <c r="AS23" i="5" s="1"/>
  <c r="AK91" i="5"/>
  <c r="AS91" i="5" s="1"/>
  <c r="AK27" i="5"/>
  <c r="AS27" i="5" s="1"/>
  <c r="AK81" i="5"/>
  <c r="AS81" i="5" s="1"/>
  <c r="AK6" i="5"/>
  <c r="AS6" i="5" s="1"/>
  <c r="AK107" i="5"/>
  <c r="AS107" i="5" s="1"/>
  <c r="AK66" i="5"/>
  <c r="AS66" i="5" s="1"/>
  <c r="AK59" i="5"/>
  <c r="AS59" i="5" s="1"/>
  <c r="AK76" i="5"/>
  <c r="AS76" i="5" s="1"/>
  <c r="AK33" i="5"/>
  <c r="AS33" i="5" s="1"/>
  <c r="AK40" i="5"/>
  <c r="AS40" i="5" s="1"/>
  <c r="AK75" i="5"/>
  <c r="AS75" i="5" s="1"/>
  <c r="AK21" i="5"/>
  <c r="AS21" i="5" s="1"/>
  <c r="AK14" i="5"/>
  <c r="AS14" i="5" s="1"/>
  <c r="AK48" i="5"/>
  <c r="AS48" i="5" s="1"/>
  <c r="AK29" i="5"/>
  <c r="AS29" i="5" s="1"/>
  <c r="AK12" i="5"/>
  <c r="AS12" i="5" s="1"/>
  <c r="AK60" i="5"/>
  <c r="AS60" i="5" s="1"/>
  <c r="AL90" i="5"/>
  <c r="AT90" i="5" s="1"/>
  <c r="AL102" i="5"/>
  <c r="AT102" i="5" s="1"/>
  <c r="AL103" i="5"/>
  <c r="AT103" i="5" s="1"/>
  <c r="AL7" i="5"/>
  <c r="AT7" i="5" s="1"/>
  <c r="AL61" i="5"/>
  <c r="AT61" i="5" s="1"/>
  <c r="AL5" i="5"/>
  <c r="AT5" i="5" s="1"/>
  <c r="AL46" i="5"/>
  <c r="AT46" i="5" s="1"/>
  <c r="AL104" i="5"/>
  <c r="AT104" i="5" s="1"/>
  <c r="AL17" i="5"/>
  <c r="AT17" i="5" s="1"/>
  <c r="AL48" i="5"/>
  <c r="AT48" i="5" s="1"/>
  <c r="AL96" i="5"/>
  <c r="AT96" i="5" s="1"/>
  <c r="AL30" i="5"/>
  <c r="AT30" i="5" s="1"/>
  <c r="AL69" i="5"/>
  <c r="AT69" i="5" s="1"/>
  <c r="AL21" i="5"/>
  <c r="AT21" i="5" s="1"/>
  <c r="AL100" i="5"/>
  <c r="AT100" i="5" s="1"/>
  <c r="AL51" i="5"/>
  <c r="AT51" i="5" s="1"/>
  <c r="AL31" i="5"/>
  <c r="AT31" i="5" s="1"/>
  <c r="AL101" i="5"/>
  <c r="AT101" i="5" s="1"/>
  <c r="AL81" i="5"/>
  <c r="AT81" i="5" s="1"/>
  <c r="AL106" i="5"/>
  <c r="AT106" i="5" s="1"/>
  <c r="AL43" i="5"/>
  <c r="AT43" i="5" s="1"/>
  <c r="AL38" i="5"/>
  <c r="AT38" i="5" s="1"/>
  <c r="AL79" i="5"/>
  <c r="AT79" i="5" s="1"/>
  <c r="AL73" i="5"/>
  <c r="AT73" i="5" s="1"/>
  <c r="AL8" i="5"/>
  <c r="AT8" i="5" s="1"/>
  <c r="AL77" i="5"/>
  <c r="AT77" i="5" s="1"/>
  <c r="AL91" i="5"/>
  <c r="AT91" i="5" s="1"/>
  <c r="AL63" i="5"/>
  <c r="AT63" i="5" s="1"/>
  <c r="AL62" i="5"/>
  <c r="AT62" i="5" s="1"/>
  <c r="AL6" i="5"/>
  <c r="AT6" i="5" s="1"/>
  <c r="AL10" i="5"/>
  <c r="AT10" i="5" s="1"/>
  <c r="AL55" i="5"/>
  <c r="AT55" i="5" s="1"/>
  <c r="AL67" i="5"/>
  <c r="AT67" i="5" s="1"/>
  <c r="AL18" i="5"/>
  <c r="AT18" i="5" s="1"/>
  <c r="AL23" i="5"/>
  <c r="AT23" i="5" s="1"/>
  <c r="AL36" i="5"/>
  <c r="AT36" i="5" s="1"/>
  <c r="AL52" i="5"/>
  <c r="AT52" i="5" s="1"/>
  <c r="AL54" i="5"/>
  <c r="AT54" i="5" s="1"/>
  <c r="AL70" i="5"/>
  <c r="AT70" i="5" s="1"/>
  <c r="AL85" i="5"/>
  <c r="AT85" i="5" s="1"/>
  <c r="AL28" i="5"/>
  <c r="AT28" i="5" s="1"/>
  <c r="AL39" i="5"/>
  <c r="AT39" i="5" s="1"/>
  <c r="AL12" i="5"/>
  <c r="AT12" i="5" s="1"/>
  <c r="AL105" i="5"/>
  <c r="AT105" i="5" s="1"/>
  <c r="AL50" i="5"/>
  <c r="AT50" i="5" s="1"/>
  <c r="AL83" i="5"/>
  <c r="AT83" i="5" s="1"/>
  <c r="AL59" i="5"/>
  <c r="AT59" i="5" s="1"/>
  <c r="AL89" i="5"/>
  <c r="AT89" i="5" s="1"/>
  <c r="AL41" i="5"/>
  <c r="AT41" i="5" s="1"/>
  <c r="AL45" i="5"/>
  <c r="AT45" i="5" s="1"/>
  <c r="AL64" i="5"/>
  <c r="AT64" i="5" s="1"/>
  <c r="AL33" i="5"/>
  <c r="AT33" i="5" s="1"/>
  <c r="AL24" i="5"/>
  <c r="AT24" i="5" s="1"/>
  <c r="AL98" i="5"/>
  <c r="AT98" i="5" s="1"/>
  <c r="AL47" i="5"/>
  <c r="AT47" i="5" s="1"/>
  <c r="AL15" i="5"/>
  <c r="AT15" i="5" s="1"/>
  <c r="AL58" i="5"/>
  <c r="AT58" i="5" s="1"/>
  <c r="AL53" i="5"/>
  <c r="AT53" i="5" s="1"/>
  <c r="AL19" i="5"/>
  <c r="AT19" i="5" s="1"/>
  <c r="AL57" i="5"/>
  <c r="AT57" i="5" s="1"/>
  <c r="AL92" i="5"/>
  <c r="AT92" i="5" s="1"/>
  <c r="AL26" i="5"/>
  <c r="AT26" i="5" s="1"/>
  <c r="AL66" i="5"/>
  <c r="AT66" i="5" s="1"/>
  <c r="AL87" i="5"/>
  <c r="AT87" i="5" s="1"/>
  <c r="AL56" i="5"/>
  <c r="AT56" i="5" s="1"/>
  <c r="AL35" i="5"/>
  <c r="AT35" i="5" s="1"/>
  <c r="AL78" i="5"/>
  <c r="AT78" i="5" s="1"/>
  <c r="AL25" i="5"/>
  <c r="AT25" i="5" s="1"/>
  <c r="AL75" i="5"/>
  <c r="AT75" i="5" s="1"/>
  <c r="AL65" i="5"/>
  <c r="AT65" i="5" s="1"/>
  <c r="AL42" i="5"/>
  <c r="AT42" i="5" s="1"/>
  <c r="AL107" i="5"/>
  <c r="AT107" i="5" s="1"/>
  <c r="AL74" i="5"/>
  <c r="AT74" i="5" s="1"/>
  <c r="AL49" i="5"/>
  <c r="AT49" i="5" s="1"/>
  <c r="AL68" i="5"/>
  <c r="AT68" i="5" s="1"/>
  <c r="AL76" i="5"/>
  <c r="AT76" i="5" s="1"/>
  <c r="AL95" i="5"/>
  <c r="AT95" i="5" s="1"/>
  <c r="AL11" i="5"/>
  <c r="AT11" i="5" s="1"/>
  <c r="AL20" i="5"/>
  <c r="AT20" i="5" s="1"/>
  <c r="AL88" i="5"/>
  <c r="AT88" i="5" s="1"/>
  <c r="AL44" i="5"/>
  <c r="AT44" i="5" s="1"/>
  <c r="AL84" i="5"/>
  <c r="AT84" i="5" s="1"/>
  <c r="AL22" i="5"/>
  <c r="AT22" i="5" s="1"/>
  <c r="AL93" i="5"/>
  <c r="AT93" i="5" s="1"/>
  <c r="AL82" i="5"/>
  <c r="AT82" i="5" s="1"/>
  <c r="AL99" i="5"/>
  <c r="AT99" i="5" s="1"/>
  <c r="AL29" i="5"/>
  <c r="AT29" i="5" s="1"/>
  <c r="AL80" i="5"/>
  <c r="AT80" i="5" s="1"/>
  <c r="AL60" i="5"/>
  <c r="AT60" i="5" s="1"/>
  <c r="AL9" i="5"/>
  <c r="AT9" i="5" s="1"/>
  <c r="AL37" i="5"/>
  <c r="AT37" i="5" s="1"/>
  <c r="AL40" i="5"/>
  <c r="AT40" i="5" s="1"/>
  <c r="AL94" i="5"/>
  <c r="AT94" i="5" s="1"/>
  <c r="AL27" i="5"/>
  <c r="AT27" i="5" s="1"/>
  <c r="AL72" i="5"/>
  <c r="AT72" i="5" s="1"/>
  <c r="AL32" i="5"/>
  <c r="AT32" i="5" s="1"/>
  <c r="AL14" i="5"/>
  <c r="AT14" i="5" s="1"/>
  <c r="AL13" i="5"/>
  <c r="AT13" i="5" s="1"/>
  <c r="AL86" i="5"/>
  <c r="AT86" i="5" s="1"/>
  <c r="AL34" i="5"/>
  <c r="AT34" i="5" s="1"/>
  <c r="AL16" i="5"/>
  <c r="AT16" i="5" s="1"/>
  <c r="AL4" i="5"/>
  <c r="AT4" i="5" s="1"/>
  <c r="AL97" i="5"/>
  <c r="AT97" i="5" s="1"/>
  <c r="AL71" i="5"/>
  <c r="AT71" i="5" s="1"/>
  <c r="DH4" i="5" l="1"/>
  <c r="CM1" i="5"/>
  <c r="DD4" i="5"/>
  <c r="CI1" i="5"/>
  <c r="CK72" i="5"/>
  <c r="DF72" i="5" s="1"/>
  <c r="BG72" i="5"/>
  <c r="CK97" i="5"/>
  <c r="DF97" i="5" s="1"/>
  <c r="BG97" i="5"/>
  <c r="CK37" i="5"/>
  <c r="DF37" i="5" s="1"/>
  <c r="BG37" i="5"/>
  <c r="CK20" i="5"/>
  <c r="DF20" i="5" s="1"/>
  <c r="BG20" i="5"/>
  <c r="CK78" i="5"/>
  <c r="DF78" i="5" s="1"/>
  <c r="BG78" i="5"/>
  <c r="CK47" i="5"/>
  <c r="DF47" i="5" s="1"/>
  <c r="BG47" i="5"/>
  <c r="CK12" i="5"/>
  <c r="DF12" i="5" s="1"/>
  <c r="BG12" i="5"/>
  <c r="CK10" i="5"/>
  <c r="DF10" i="5" s="1"/>
  <c r="BG10" i="5"/>
  <c r="CK81" i="5"/>
  <c r="DF81" i="5" s="1"/>
  <c r="BG81" i="5"/>
  <c r="CK46" i="5"/>
  <c r="DF46" i="5" s="1"/>
  <c r="BG46" i="5"/>
  <c r="CJ21" i="5"/>
  <c r="DE21" i="5" s="1"/>
  <c r="BF21" i="5"/>
  <c r="CJ23" i="5"/>
  <c r="DE23" i="5" s="1"/>
  <c r="BF23" i="5"/>
  <c r="CJ17" i="5"/>
  <c r="DE17" i="5" s="1"/>
  <c r="BF17" i="5"/>
  <c r="CJ11" i="5"/>
  <c r="DE11" i="5" s="1"/>
  <c r="BF11" i="5"/>
  <c r="CJ32" i="5"/>
  <c r="DE32" i="5" s="1"/>
  <c r="BF32" i="5"/>
  <c r="CJ58" i="5"/>
  <c r="DE58" i="5" s="1"/>
  <c r="BF58" i="5"/>
  <c r="CJ22" i="5"/>
  <c r="DE22" i="5" s="1"/>
  <c r="BF22" i="5"/>
  <c r="CJ24" i="5"/>
  <c r="DE24" i="5" s="1"/>
  <c r="BF24" i="5"/>
  <c r="BF103" i="5"/>
  <c r="CJ103" i="5"/>
  <c r="DE103" i="5" s="1"/>
  <c r="CK9" i="5"/>
  <c r="DF9" i="5" s="1"/>
  <c r="BG9" i="5"/>
  <c r="CK35" i="5"/>
  <c r="DF35" i="5" s="1"/>
  <c r="BG35" i="5"/>
  <c r="CK98" i="5"/>
  <c r="DF98" i="5" s="1"/>
  <c r="BG98" i="5"/>
  <c r="CK39" i="5"/>
  <c r="DF39" i="5" s="1"/>
  <c r="BG39" i="5"/>
  <c r="CK6" i="5"/>
  <c r="DF6" i="5" s="1"/>
  <c r="BG6" i="5"/>
  <c r="CK101" i="5"/>
  <c r="DF101" i="5" s="1"/>
  <c r="BG101" i="5"/>
  <c r="CK5" i="5"/>
  <c r="DF5" i="5" s="1"/>
  <c r="BG5" i="5"/>
  <c r="CJ75" i="5"/>
  <c r="DE75" i="5" s="1"/>
  <c r="BF75" i="5"/>
  <c r="CJ36" i="5"/>
  <c r="DE36" i="5" s="1"/>
  <c r="BF36" i="5"/>
  <c r="CJ10" i="5"/>
  <c r="DE10" i="5" s="1"/>
  <c r="BF10" i="5"/>
  <c r="CJ83" i="5"/>
  <c r="DE83" i="5" s="1"/>
  <c r="BF83" i="5"/>
  <c r="CJ44" i="5"/>
  <c r="DE44" i="5" s="1"/>
  <c r="BF44" i="5"/>
  <c r="CJ30" i="5"/>
  <c r="DE30" i="5" s="1"/>
  <c r="BF30" i="5"/>
  <c r="CJ71" i="5"/>
  <c r="DE71" i="5" s="1"/>
  <c r="BF71" i="5"/>
  <c r="CJ19" i="5"/>
  <c r="DE19" i="5" s="1"/>
  <c r="BF19" i="5"/>
  <c r="CJ79" i="5"/>
  <c r="DE79" i="5" s="1"/>
  <c r="BF79" i="5"/>
  <c r="DD2" i="5"/>
  <c r="CK4" i="5"/>
  <c r="BG4" i="5"/>
  <c r="CK95" i="5"/>
  <c r="DF95" i="5" s="1"/>
  <c r="BG95" i="5"/>
  <c r="CK24" i="5"/>
  <c r="DF24" i="5" s="1"/>
  <c r="BG24" i="5"/>
  <c r="BW24" i="5" s="1"/>
  <c r="CK28" i="5"/>
  <c r="DF28" i="5" s="1"/>
  <c r="BG28" i="5"/>
  <c r="CK62" i="5"/>
  <c r="DF62" i="5" s="1"/>
  <c r="BG62" i="5"/>
  <c r="CK31" i="5"/>
  <c r="DF31" i="5" s="1"/>
  <c r="BG31" i="5"/>
  <c r="CK61" i="5"/>
  <c r="DF61" i="5" s="1"/>
  <c r="BG61" i="5"/>
  <c r="CJ40" i="5"/>
  <c r="DE40" i="5" s="1"/>
  <c r="BF40" i="5"/>
  <c r="CJ64" i="5"/>
  <c r="DE64" i="5" s="1"/>
  <c r="BF64" i="5"/>
  <c r="BW64" i="5" s="1"/>
  <c r="CJ5" i="5"/>
  <c r="DE5" i="5" s="1"/>
  <c r="BF5" i="5"/>
  <c r="BW5" i="5" s="1"/>
  <c r="CJ53" i="5"/>
  <c r="DE53" i="5" s="1"/>
  <c r="BF53" i="5"/>
  <c r="CJ42" i="5"/>
  <c r="DE42" i="5" s="1"/>
  <c r="BF42" i="5"/>
  <c r="CJ49" i="5"/>
  <c r="DE49" i="5" s="1"/>
  <c r="BF49" i="5"/>
  <c r="CJ72" i="5"/>
  <c r="DE72" i="5" s="1"/>
  <c r="BF72" i="5"/>
  <c r="CJ4" i="5"/>
  <c r="BF4" i="5"/>
  <c r="BW4" i="5" s="1"/>
  <c r="CJ54" i="5"/>
  <c r="DE54" i="5" s="1"/>
  <c r="BF54" i="5"/>
  <c r="BW54" i="5" s="1"/>
  <c r="CK16" i="5"/>
  <c r="DF16" i="5" s="1"/>
  <c r="BG16" i="5"/>
  <c r="CK56" i="5"/>
  <c r="DF56" i="5" s="1"/>
  <c r="BG56" i="5"/>
  <c r="CK34" i="5"/>
  <c r="DF34" i="5" s="1"/>
  <c r="BG34" i="5"/>
  <c r="CK80" i="5"/>
  <c r="DF80" i="5" s="1"/>
  <c r="BG80" i="5"/>
  <c r="CK76" i="5"/>
  <c r="DF76" i="5" s="1"/>
  <c r="BG76" i="5"/>
  <c r="BW76" i="5" s="1"/>
  <c r="CK87" i="5"/>
  <c r="DF87" i="5" s="1"/>
  <c r="BG87" i="5"/>
  <c r="CK33" i="5"/>
  <c r="DF33" i="5" s="1"/>
  <c r="BG33" i="5"/>
  <c r="CK85" i="5"/>
  <c r="DF85" i="5" s="1"/>
  <c r="BG85" i="5"/>
  <c r="CK63" i="5"/>
  <c r="DF63" i="5" s="1"/>
  <c r="BG63" i="5"/>
  <c r="CK51" i="5"/>
  <c r="DF51" i="5" s="1"/>
  <c r="BG51" i="5"/>
  <c r="CK7" i="5"/>
  <c r="DF7" i="5" s="1"/>
  <c r="BG7" i="5"/>
  <c r="CJ33" i="5"/>
  <c r="DE33" i="5" s="1"/>
  <c r="BF33" i="5"/>
  <c r="CJ43" i="5"/>
  <c r="DE43" i="5" s="1"/>
  <c r="BF43" i="5"/>
  <c r="CJ80" i="5"/>
  <c r="DE80" i="5" s="1"/>
  <c r="BF80" i="5"/>
  <c r="CJ67" i="5"/>
  <c r="DE67" i="5" s="1"/>
  <c r="BF67" i="5"/>
  <c r="BF88" i="5"/>
  <c r="CJ88" i="5"/>
  <c r="DE88" i="5" s="1"/>
  <c r="CJ46" i="5"/>
  <c r="DE46" i="5" s="1"/>
  <c r="BF46" i="5"/>
  <c r="BW46" i="5" s="1"/>
  <c r="CJ65" i="5"/>
  <c r="DE65" i="5" s="1"/>
  <c r="BF65" i="5"/>
  <c r="CJ57" i="5"/>
  <c r="DE57" i="5" s="1"/>
  <c r="BF57" i="5"/>
  <c r="CK11" i="5"/>
  <c r="DF11" i="5" s="1"/>
  <c r="BG11" i="5"/>
  <c r="CK60" i="5"/>
  <c r="DF60" i="5" s="1"/>
  <c r="BG60" i="5"/>
  <c r="CK86" i="5"/>
  <c r="DF86" i="5" s="1"/>
  <c r="BG86" i="5"/>
  <c r="CK29" i="5"/>
  <c r="DF29" i="5" s="1"/>
  <c r="BG29" i="5"/>
  <c r="CK68" i="5"/>
  <c r="DF68" i="5" s="1"/>
  <c r="BG68" i="5"/>
  <c r="CK66" i="5"/>
  <c r="DF66" i="5" s="1"/>
  <c r="BG66" i="5"/>
  <c r="CK64" i="5"/>
  <c r="DF64" i="5" s="1"/>
  <c r="BG64" i="5"/>
  <c r="CK70" i="5"/>
  <c r="DF70" i="5" s="1"/>
  <c r="BG70" i="5"/>
  <c r="CK91" i="5"/>
  <c r="DF91" i="5" s="1"/>
  <c r="BG91" i="5"/>
  <c r="CK100" i="5"/>
  <c r="DF100" i="5" s="1"/>
  <c r="BG100" i="5"/>
  <c r="CK103" i="5"/>
  <c r="DF103" i="5" s="1"/>
  <c r="BG103" i="5"/>
  <c r="CJ76" i="5"/>
  <c r="DE76" i="5" s="1"/>
  <c r="BF76" i="5"/>
  <c r="CJ31" i="5"/>
  <c r="DE31" i="5" s="1"/>
  <c r="BF31" i="5"/>
  <c r="BF97" i="5"/>
  <c r="CJ97" i="5"/>
  <c r="DE97" i="5" s="1"/>
  <c r="CJ74" i="5"/>
  <c r="DE74" i="5" s="1"/>
  <c r="BF74" i="5"/>
  <c r="BW74" i="5" s="1"/>
  <c r="CJ28" i="5"/>
  <c r="DE28" i="5" s="1"/>
  <c r="BF28" i="5"/>
  <c r="BF106" i="5"/>
  <c r="BW106" i="5" s="1"/>
  <c r="CJ106" i="5"/>
  <c r="DE106" i="5" s="1"/>
  <c r="CJ95" i="5"/>
  <c r="DE95" i="5" s="1"/>
  <c r="BF95" i="5"/>
  <c r="BF99" i="5"/>
  <c r="CJ99" i="5"/>
  <c r="DE99" i="5" s="1"/>
  <c r="CK99" i="5"/>
  <c r="DF99" i="5" s="1"/>
  <c r="BG99" i="5"/>
  <c r="CK49" i="5"/>
  <c r="DF49" i="5" s="1"/>
  <c r="BG49" i="5"/>
  <c r="CK26" i="5"/>
  <c r="DF26" i="5" s="1"/>
  <c r="BG26" i="5"/>
  <c r="CK45" i="5"/>
  <c r="DF45" i="5" s="1"/>
  <c r="BG45" i="5"/>
  <c r="CK54" i="5"/>
  <c r="DF54" i="5" s="1"/>
  <c r="BG54" i="5"/>
  <c r="CK77" i="5"/>
  <c r="DF77" i="5" s="1"/>
  <c r="BG77" i="5"/>
  <c r="CK21" i="5"/>
  <c r="DF21" i="5" s="1"/>
  <c r="BG21" i="5"/>
  <c r="BW21" i="5" s="1"/>
  <c r="CK102" i="5"/>
  <c r="DF102" i="5" s="1"/>
  <c r="BG102" i="5"/>
  <c r="CJ59" i="5"/>
  <c r="DE59" i="5" s="1"/>
  <c r="BF59" i="5"/>
  <c r="CJ77" i="5"/>
  <c r="DE77" i="5" s="1"/>
  <c r="BF77" i="5"/>
  <c r="CJ104" i="5"/>
  <c r="DE104" i="5" s="1"/>
  <c r="BF104" i="5"/>
  <c r="CJ18" i="5"/>
  <c r="DE18" i="5" s="1"/>
  <c r="BF18" i="5"/>
  <c r="CJ41" i="5"/>
  <c r="DE41" i="5" s="1"/>
  <c r="BF41" i="5"/>
  <c r="CJ50" i="5"/>
  <c r="DE50" i="5" s="1"/>
  <c r="BF50" i="5"/>
  <c r="BF98" i="5"/>
  <c r="BW98" i="5" s="1"/>
  <c r="CJ98" i="5"/>
  <c r="DE98" i="5" s="1"/>
  <c r="CJ86" i="5"/>
  <c r="DE86" i="5" s="1"/>
  <c r="BF86" i="5"/>
  <c r="BW86" i="5" s="1"/>
  <c r="CK82" i="5"/>
  <c r="DF82" i="5" s="1"/>
  <c r="BG82" i="5"/>
  <c r="CK74" i="5"/>
  <c r="DF74" i="5" s="1"/>
  <c r="BG74" i="5"/>
  <c r="CK92" i="5"/>
  <c r="DF92" i="5" s="1"/>
  <c r="BG92" i="5"/>
  <c r="CK41" i="5"/>
  <c r="DF41" i="5" s="1"/>
  <c r="BG41" i="5"/>
  <c r="CK52" i="5"/>
  <c r="DF52" i="5" s="1"/>
  <c r="BG52" i="5"/>
  <c r="CK8" i="5"/>
  <c r="DF8" i="5" s="1"/>
  <c r="BG8" i="5"/>
  <c r="CK69" i="5"/>
  <c r="DF69" i="5" s="1"/>
  <c r="BG69" i="5"/>
  <c r="CK90" i="5"/>
  <c r="DF90" i="5" s="1"/>
  <c r="BG90" i="5"/>
  <c r="CJ66" i="5"/>
  <c r="DE66" i="5" s="1"/>
  <c r="BF66" i="5"/>
  <c r="BW66" i="5" s="1"/>
  <c r="CJ63" i="5"/>
  <c r="DE63" i="5" s="1"/>
  <c r="BF63" i="5"/>
  <c r="BF16" i="5"/>
  <c r="CJ16" i="5"/>
  <c r="DE16" i="5" s="1"/>
  <c r="CJ61" i="5"/>
  <c r="DE61" i="5" s="1"/>
  <c r="BF61" i="5"/>
  <c r="CJ20" i="5"/>
  <c r="DE20" i="5" s="1"/>
  <c r="BF20" i="5"/>
  <c r="CJ82" i="5"/>
  <c r="DE82" i="5" s="1"/>
  <c r="BF82" i="5"/>
  <c r="CJ38" i="5"/>
  <c r="DE38" i="5" s="1"/>
  <c r="BF38" i="5"/>
  <c r="BF105" i="5"/>
  <c r="CJ105" i="5"/>
  <c r="DE105" i="5" s="1"/>
  <c r="CK93" i="5"/>
  <c r="DF93" i="5" s="1"/>
  <c r="BG93" i="5"/>
  <c r="CK107" i="5"/>
  <c r="DF107" i="5" s="1"/>
  <c r="BG107" i="5"/>
  <c r="CK57" i="5"/>
  <c r="DF57" i="5" s="1"/>
  <c r="BG57" i="5"/>
  <c r="BW57" i="5" s="1"/>
  <c r="CK89" i="5"/>
  <c r="DF89" i="5" s="1"/>
  <c r="BG89" i="5"/>
  <c r="CK36" i="5"/>
  <c r="DF36" i="5" s="1"/>
  <c r="BG36" i="5"/>
  <c r="BG73" i="5"/>
  <c r="CK73" i="5"/>
  <c r="DF73" i="5" s="1"/>
  <c r="CK30" i="5"/>
  <c r="DF30" i="5" s="1"/>
  <c r="BG30" i="5"/>
  <c r="CJ60" i="5"/>
  <c r="DE60" i="5" s="1"/>
  <c r="BF60" i="5"/>
  <c r="CJ107" i="5"/>
  <c r="DE107" i="5" s="1"/>
  <c r="BF107" i="5"/>
  <c r="CJ90" i="5"/>
  <c r="DE90" i="5" s="1"/>
  <c r="BF90" i="5"/>
  <c r="CJ15" i="5"/>
  <c r="DE15" i="5" s="1"/>
  <c r="BF15" i="5"/>
  <c r="CJ96" i="5"/>
  <c r="DE96" i="5" s="1"/>
  <c r="BF96" i="5"/>
  <c r="CJ78" i="5"/>
  <c r="DE78" i="5" s="1"/>
  <c r="BF78" i="5"/>
  <c r="CJ7" i="5"/>
  <c r="DE7" i="5" s="1"/>
  <c r="BF7" i="5"/>
  <c r="CJ84" i="5"/>
  <c r="DE84" i="5" s="1"/>
  <c r="BF84" i="5"/>
  <c r="CJ69" i="5"/>
  <c r="DE69" i="5" s="1"/>
  <c r="BF69" i="5"/>
  <c r="BW69" i="5" s="1"/>
  <c r="CK14" i="5"/>
  <c r="DF14" i="5" s="1"/>
  <c r="BG14" i="5"/>
  <c r="CK22" i="5"/>
  <c r="DF22" i="5" s="1"/>
  <c r="BG22" i="5"/>
  <c r="BW22" i="5" s="1"/>
  <c r="CK42" i="5"/>
  <c r="DF42" i="5" s="1"/>
  <c r="BG42" i="5"/>
  <c r="BW42" i="5" s="1"/>
  <c r="CK19" i="5"/>
  <c r="DF19" i="5" s="1"/>
  <c r="BG19" i="5"/>
  <c r="BW19" i="5" s="1"/>
  <c r="CK59" i="5"/>
  <c r="DF59" i="5" s="1"/>
  <c r="BG59" i="5"/>
  <c r="CK23" i="5"/>
  <c r="DF23" i="5" s="1"/>
  <c r="BG23" i="5"/>
  <c r="BW23" i="5" s="1"/>
  <c r="CK79" i="5"/>
  <c r="DF79" i="5" s="1"/>
  <c r="BG79" i="5"/>
  <c r="BW79" i="5" s="1"/>
  <c r="CK96" i="5"/>
  <c r="DF96" i="5" s="1"/>
  <c r="BG96" i="5"/>
  <c r="BW96" i="5" s="1"/>
  <c r="CJ12" i="5"/>
  <c r="DE12" i="5" s="1"/>
  <c r="BF12" i="5"/>
  <c r="BW12" i="5" s="1"/>
  <c r="CJ6" i="5"/>
  <c r="DE6" i="5" s="1"/>
  <c r="BF6" i="5"/>
  <c r="CJ34" i="5"/>
  <c r="DE34" i="5" s="1"/>
  <c r="BF34" i="5"/>
  <c r="CJ85" i="5"/>
  <c r="DE85" i="5" s="1"/>
  <c r="BF85" i="5"/>
  <c r="CJ45" i="5"/>
  <c r="DE45" i="5" s="1"/>
  <c r="BF45" i="5"/>
  <c r="BW45" i="5" s="1"/>
  <c r="CJ51" i="5"/>
  <c r="DE51" i="5" s="1"/>
  <c r="BF51" i="5"/>
  <c r="BW51" i="5" s="1"/>
  <c r="CJ37" i="5"/>
  <c r="DE37" i="5" s="1"/>
  <c r="BF37" i="5"/>
  <c r="CJ55" i="5"/>
  <c r="DE55" i="5" s="1"/>
  <c r="BF55" i="5"/>
  <c r="CJ87" i="5"/>
  <c r="DE87" i="5" s="1"/>
  <c r="BF87" i="5"/>
  <c r="BW11" i="5"/>
  <c r="CK13" i="5"/>
  <c r="DF13" i="5" s="1"/>
  <c r="BG13" i="5"/>
  <c r="CK84" i="5"/>
  <c r="DF84" i="5" s="1"/>
  <c r="BG84" i="5"/>
  <c r="CK65" i="5"/>
  <c r="DF65" i="5" s="1"/>
  <c r="BG65" i="5"/>
  <c r="BG53" i="5"/>
  <c r="BW53" i="5" s="1"/>
  <c r="CK53" i="5"/>
  <c r="DF53" i="5" s="1"/>
  <c r="CK83" i="5"/>
  <c r="DF83" i="5" s="1"/>
  <c r="BG83" i="5"/>
  <c r="BW83" i="5" s="1"/>
  <c r="CK18" i="5"/>
  <c r="DF18" i="5" s="1"/>
  <c r="BG18" i="5"/>
  <c r="BW18" i="5" s="1"/>
  <c r="CK38" i="5"/>
  <c r="DF38" i="5" s="1"/>
  <c r="BG38" i="5"/>
  <c r="BW38" i="5" s="1"/>
  <c r="CK48" i="5"/>
  <c r="DF48" i="5" s="1"/>
  <c r="BG48" i="5"/>
  <c r="BW48" i="5" s="1"/>
  <c r="CJ29" i="5"/>
  <c r="DE29" i="5" s="1"/>
  <c r="BF29" i="5"/>
  <c r="BF81" i="5"/>
  <c r="CJ81" i="5"/>
  <c r="DE81" i="5" s="1"/>
  <c r="CJ39" i="5"/>
  <c r="DE39" i="5" s="1"/>
  <c r="BF39" i="5"/>
  <c r="BW39" i="5" s="1"/>
  <c r="CJ93" i="5"/>
  <c r="DE93" i="5" s="1"/>
  <c r="BF93" i="5"/>
  <c r="CJ102" i="5"/>
  <c r="DE102" i="5" s="1"/>
  <c r="BF102" i="5"/>
  <c r="BF89" i="5"/>
  <c r="CJ89" i="5"/>
  <c r="DE89" i="5" s="1"/>
  <c r="CJ56" i="5"/>
  <c r="DE56" i="5" s="1"/>
  <c r="BF56" i="5"/>
  <c r="BF94" i="5"/>
  <c r="CJ94" i="5"/>
  <c r="DE94" i="5" s="1"/>
  <c r="BF100" i="5"/>
  <c r="CJ100" i="5"/>
  <c r="DE100" i="5" s="1"/>
  <c r="DH2" i="5"/>
  <c r="CK27" i="5"/>
  <c r="DF27" i="5" s="1"/>
  <c r="BG27" i="5"/>
  <c r="CK44" i="5"/>
  <c r="DF44" i="5" s="1"/>
  <c r="BG44" i="5"/>
  <c r="CK58" i="5"/>
  <c r="DF58" i="5" s="1"/>
  <c r="BG58" i="5"/>
  <c r="CK50" i="5"/>
  <c r="DF50" i="5" s="1"/>
  <c r="BG50" i="5"/>
  <c r="CK67" i="5"/>
  <c r="DF67" i="5" s="1"/>
  <c r="BG67" i="5"/>
  <c r="BW67" i="5" s="1"/>
  <c r="CK43" i="5"/>
  <c r="DF43" i="5" s="1"/>
  <c r="BG43" i="5"/>
  <c r="BW43" i="5" s="1"/>
  <c r="CK17" i="5"/>
  <c r="DF17" i="5" s="1"/>
  <c r="BG17" i="5"/>
  <c r="BW17" i="5" s="1"/>
  <c r="CJ48" i="5"/>
  <c r="DE48" i="5" s="1"/>
  <c r="BF48" i="5"/>
  <c r="CJ27" i="5"/>
  <c r="DE27" i="5" s="1"/>
  <c r="BF27" i="5"/>
  <c r="CJ101" i="5"/>
  <c r="DE101" i="5" s="1"/>
  <c r="BF101" i="5"/>
  <c r="BW101" i="5" s="1"/>
  <c r="CJ73" i="5"/>
  <c r="DE73" i="5" s="1"/>
  <c r="BF73" i="5"/>
  <c r="CJ70" i="5"/>
  <c r="DE70" i="5" s="1"/>
  <c r="BF70" i="5"/>
  <c r="BF62" i="5"/>
  <c r="BW62" i="5" s="1"/>
  <c r="CJ62" i="5"/>
  <c r="DE62" i="5" s="1"/>
  <c r="CJ8" i="5"/>
  <c r="DE8" i="5" s="1"/>
  <c r="BF8" i="5"/>
  <c r="CJ47" i="5"/>
  <c r="DE47" i="5" s="1"/>
  <c r="BF47" i="5"/>
  <c r="BW47" i="5" s="1"/>
  <c r="CJ52" i="5"/>
  <c r="DE52" i="5" s="1"/>
  <c r="BF52" i="5"/>
  <c r="BW52" i="5" s="1"/>
  <c r="BW97" i="5"/>
  <c r="BW63" i="5"/>
  <c r="CK32" i="5"/>
  <c r="DF32" i="5" s="1"/>
  <c r="BG32" i="5"/>
  <c r="BW32" i="5" s="1"/>
  <c r="BG94" i="5"/>
  <c r="CK94" i="5"/>
  <c r="DF94" i="5" s="1"/>
  <c r="CK75" i="5"/>
  <c r="DF75" i="5" s="1"/>
  <c r="BG75" i="5"/>
  <c r="BW75" i="5" s="1"/>
  <c r="BG71" i="5"/>
  <c r="CK71" i="5"/>
  <c r="DF71" i="5" s="1"/>
  <c r="CK40" i="5"/>
  <c r="DF40" i="5" s="1"/>
  <c r="BG40" i="5"/>
  <c r="CK88" i="5"/>
  <c r="DF88" i="5" s="1"/>
  <c r="BG88" i="5"/>
  <c r="BW88" i="5" s="1"/>
  <c r="CK25" i="5"/>
  <c r="DF25" i="5" s="1"/>
  <c r="BG25" i="5"/>
  <c r="CK15" i="5"/>
  <c r="DF15" i="5" s="1"/>
  <c r="BG15" i="5"/>
  <c r="BW15" i="5" s="1"/>
  <c r="CK105" i="5"/>
  <c r="DF105" i="5" s="1"/>
  <c r="BG105" i="5"/>
  <c r="CK55" i="5"/>
  <c r="DF55" i="5" s="1"/>
  <c r="BG55" i="5"/>
  <c r="BW55" i="5" s="1"/>
  <c r="CK106" i="5"/>
  <c r="DF106" i="5" s="1"/>
  <c r="BG106" i="5"/>
  <c r="CK104" i="5"/>
  <c r="DF104" i="5" s="1"/>
  <c r="BG104" i="5"/>
  <c r="CJ14" i="5"/>
  <c r="DE14" i="5" s="1"/>
  <c r="BF14" i="5"/>
  <c r="BW14" i="5" s="1"/>
  <c r="BF91" i="5"/>
  <c r="CJ91" i="5"/>
  <c r="DE91" i="5" s="1"/>
  <c r="CJ68" i="5"/>
  <c r="DE68" i="5" s="1"/>
  <c r="BF68" i="5"/>
  <c r="CJ13" i="5"/>
  <c r="DE13" i="5" s="1"/>
  <c r="BF13" i="5"/>
  <c r="CJ26" i="5"/>
  <c r="DE26" i="5" s="1"/>
  <c r="BF26" i="5"/>
  <c r="CJ35" i="5"/>
  <c r="DE35" i="5" s="1"/>
  <c r="BF35" i="5"/>
  <c r="CJ9" i="5"/>
  <c r="DE9" i="5" s="1"/>
  <c r="BF9" i="5"/>
  <c r="BW9" i="5" s="1"/>
  <c r="CJ92" i="5"/>
  <c r="DE92" i="5" s="1"/>
  <c r="BF92" i="5"/>
  <c r="BF25" i="5"/>
  <c r="CJ25" i="5"/>
  <c r="DE25" i="5" s="1"/>
  <c r="BW103" i="5"/>
  <c r="BW65" i="5" l="1"/>
  <c r="BW29" i="5"/>
  <c r="BW68" i="5"/>
  <c r="BW8" i="5"/>
  <c r="BW80" i="5"/>
  <c r="BW27" i="5"/>
  <c r="BW87" i="5"/>
  <c r="BW59" i="5"/>
  <c r="BW94" i="5"/>
  <c r="BW82" i="5"/>
  <c r="BW36" i="5"/>
  <c r="BW28" i="5"/>
  <c r="BW41" i="5"/>
  <c r="BW10" i="5"/>
  <c r="BW72" i="5"/>
  <c r="BW99" i="5"/>
  <c r="BW49" i="5"/>
  <c r="BW61" i="5"/>
  <c r="BW71" i="5"/>
  <c r="BW90" i="5"/>
  <c r="BW77" i="5"/>
  <c r="BW84" i="5"/>
  <c r="BW7" i="5"/>
  <c r="BW60" i="5"/>
  <c r="BW102" i="5"/>
  <c r="DE4" i="5"/>
  <c r="DE2" i="5" s="1"/>
  <c r="CJ1" i="5"/>
  <c r="BW13" i="5"/>
  <c r="BW105" i="5"/>
  <c r="BW92" i="5"/>
  <c r="BW37" i="5"/>
  <c r="BW30" i="5"/>
  <c r="BW93" i="5"/>
  <c r="BW91" i="5"/>
  <c r="BW70" i="5"/>
  <c r="BW34" i="5"/>
  <c r="BW100" i="5"/>
  <c r="BW20" i="5"/>
  <c r="BW50" i="5"/>
  <c r="BW73" i="5"/>
  <c r="DF4" i="5"/>
  <c r="DF2" i="5" s="1"/>
  <c r="DN4" i="5" s="1" a="1"/>
  <c r="CK1" i="5"/>
  <c r="DM4" i="5" s="1" a="1"/>
  <c r="DM4" i="5" s="1"/>
  <c r="BW6" i="5"/>
  <c r="BW31" i="5"/>
  <c r="BW35" i="5"/>
  <c r="BW58" i="5"/>
  <c r="BW81" i="5"/>
  <c r="BW95" i="5"/>
  <c r="BW33" i="5"/>
  <c r="BW16" i="5"/>
  <c r="BW78" i="5"/>
  <c r="BW107" i="5"/>
  <c r="BW25" i="5"/>
  <c r="BW104" i="5"/>
  <c r="BW56" i="5"/>
  <c r="BW40" i="5"/>
  <c r="BW44" i="5"/>
  <c r="BW85" i="5"/>
  <c r="BW89" i="5"/>
  <c r="BW26" i="5"/>
  <c r="DN4" i="5" l="1"/>
  <c r="DO4" i="5" s="1"/>
  <c r="DO5" i="5"/>
  <c r="DO8" i="5"/>
  <c r="DO9" i="5"/>
  <c r="DO10" i="5"/>
  <c r="DO11" i="5"/>
  <c r="DO6" i="5"/>
  <c r="DO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<sst xmlns="http://schemas.openxmlformats.org/spreadsheetml/2006/main" count="202" uniqueCount="90">
  <si>
    <t>week_start</t>
  </si>
  <si>
    <t>week_of_year</t>
  </si>
  <si>
    <t>monsoon_dummy</t>
  </si>
  <si>
    <t>trend</t>
  </si>
  <si>
    <t>season_sin</t>
  </si>
  <si>
    <t>season_cos</t>
  </si>
  <si>
    <t>price_index</t>
  </si>
  <si>
    <t>comp_price_index</t>
  </si>
  <si>
    <t>availability</t>
  </si>
  <si>
    <t>promo_discount</t>
  </si>
  <si>
    <t>rainfall_mm</t>
  </si>
  <si>
    <t>fuel_price_index</t>
  </si>
  <si>
    <t>tv_spend_lakhs</t>
  </si>
  <si>
    <t>yt_spend_lakhs</t>
  </si>
  <si>
    <t>fb_ig_spend_lakhs</t>
  </si>
  <si>
    <t>search_spend_lakhs</t>
  </si>
  <si>
    <t>display_spend_lakhs</t>
  </si>
  <si>
    <t>influencer_spend_lakhs</t>
  </si>
  <si>
    <t>ooh_spend_lakhs</t>
  </si>
  <si>
    <t>radio_spend_lakhs</t>
  </si>
  <si>
    <t>crm_email_sends_k</t>
  </si>
  <si>
    <t>website_sessions_k</t>
  </si>
  <si>
    <t>sales_units</t>
  </si>
  <si>
    <t>price_per_unit_inr</t>
  </si>
  <si>
    <t>sales_revenue_inr</t>
  </si>
  <si>
    <t>Non-Media</t>
  </si>
  <si>
    <t>tv_spend_lakhs_ad</t>
  </si>
  <si>
    <t>yt_spend_lakhs_ad</t>
  </si>
  <si>
    <t>fb_ig_spend_lakhs_ad</t>
  </si>
  <si>
    <t>search_spend_lakhs_ad</t>
  </si>
  <si>
    <t>display_spend_lakhs_ad</t>
  </si>
  <si>
    <t>influencer_spend_lakhs_ad</t>
  </si>
  <si>
    <t>ooh_spend_lakhs_ad</t>
  </si>
  <si>
    <t>radio_spend_lakhs_ad</t>
  </si>
  <si>
    <t>tv_spend_lakhs_sat</t>
  </si>
  <si>
    <t>yt_spend_lakhs_sat</t>
  </si>
  <si>
    <t>fb_ig_spend_lakhs_sat</t>
  </si>
  <si>
    <t>search_spend_lakhs_sat</t>
  </si>
  <si>
    <t>display_spend_lakhs_sat</t>
  </si>
  <si>
    <t>influencer_spend_lakhs_sat</t>
  </si>
  <si>
    <t>ooh_spend_lakhs_sat</t>
  </si>
  <si>
    <t>radio_spend_lakhs_sat</t>
  </si>
  <si>
    <t>tv_spend_lakhs_per</t>
  </si>
  <si>
    <t>yt_spend_lakhs_per</t>
  </si>
  <si>
    <t>fb_ig_spend_lakhs_per</t>
  </si>
  <si>
    <t>search_spend_lakhs_per</t>
  </si>
  <si>
    <t>display_spend_lakhs_per</t>
  </si>
  <si>
    <t>influencer_spend_lakhs_per</t>
  </si>
  <si>
    <t>ooh_spend_lakhs_per</t>
  </si>
  <si>
    <t>radio_spend_lakhs_per</t>
  </si>
  <si>
    <t>tv_m</t>
  </si>
  <si>
    <t>yt_m</t>
  </si>
  <si>
    <t>fb_m</t>
  </si>
  <si>
    <t>search_m</t>
  </si>
  <si>
    <t>display_m</t>
  </si>
  <si>
    <t>influencer_m</t>
  </si>
  <si>
    <t>ooh_m</t>
  </si>
  <si>
    <t>radio_m</t>
  </si>
  <si>
    <t>Intercept</t>
  </si>
  <si>
    <t>Media</t>
  </si>
  <si>
    <t>Media_Contribution</t>
  </si>
  <si>
    <t>Baseline_Contribution</t>
  </si>
  <si>
    <t>Y_actual</t>
  </si>
  <si>
    <t>from python</t>
  </si>
  <si>
    <t>Ridge Coef</t>
  </si>
  <si>
    <t>OLS Coef</t>
  </si>
  <si>
    <t>Channel_revenue</t>
  </si>
  <si>
    <t>Channel_units</t>
  </si>
  <si>
    <t>Channel_Spent_inr</t>
  </si>
  <si>
    <t>Total_Spend</t>
  </si>
  <si>
    <t>Attributed_Units</t>
  </si>
  <si>
    <t>Attributed_Revenue</t>
  </si>
  <si>
    <t>ROAS</t>
  </si>
  <si>
    <t>Y_pred_OLS</t>
  </si>
  <si>
    <t>Y_pred_Ridge</t>
  </si>
  <si>
    <t>decay</t>
  </si>
  <si>
    <t>alpha</t>
  </si>
  <si>
    <t>TV</t>
  </si>
  <si>
    <t>YT</t>
  </si>
  <si>
    <t>FB</t>
  </si>
  <si>
    <t>x-axis</t>
  </si>
  <si>
    <t>tv_spend_lakhs_sat_50</t>
  </si>
  <si>
    <t>tv_spend_lakhs_sat_60</t>
  </si>
  <si>
    <t>tv_spend_lakhs_sat_70</t>
  </si>
  <si>
    <t>yt_spend_lakhs_sat_50</t>
  </si>
  <si>
    <t>yt_spend_lakhs_sat_60</t>
  </si>
  <si>
    <t>yt_spend_lakhs_sat_70</t>
  </si>
  <si>
    <t>fb_ig_spend_lakhs_sat_50</t>
  </si>
  <si>
    <t>fb_ig_spend_lakhs_sat_60</t>
  </si>
  <si>
    <t>fb_ig_spend_lakhs_sat_70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</si>
</sst>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Actual_vs_OLS_vs_Ridge!$A$1</c:f>
              <c:strCache>
                <c:ptCount val="1"/>
                <c:pt idx="0">
                  <c:v>Y_actual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Actual_vs_OLS_vs_Ridge!$A$2:$A$105</c:f>
              <c:numCache>
                <c:formatCode>General</c:formatCode>
                <c:ptCount val="104"/>
                <c:pt idx="0">
                  <c:v>1220</c:v>
                </c:pt>
                <c:pt idx="1">
                  <c:v>1239</c:v>
                </c:pt>
                <c:pt idx="2">
                  <c:v>1723</c:v>
                </c:pt>
                <c:pt idx="3">
                  <c:v>1775</c:v>
                </c:pt>
                <c:pt idx="4">
                  <c:v>1668</c:v>
                </c:pt>
                <c:pt idx="5">
                  <c:v>1721</c:v>
                </c:pt>
                <c:pt idx="6">
                  <c:v>1827</c:v>
                </c:pt>
                <c:pt idx="7">
                  <c:v>1754</c:v>
                </c:pt>
                <c:pt idx="8">
                  <c:v>1723</c:v>
                </c:pt>
                <c:pt idx="9">
                  <c:v>1732</c:v>
                </c:pt>
                <c:pt idx="10">
                  <c:v>1939</c:v>
                </c:pt>
                <c:pt idx="11">
                  <c:v>1943</c:v>
                </c:pt>
                <c:pt idx="12">
                  <c:v>1854</c:v>
                </c:pt>
                <c:pt idx="13">
                  <c:v>2001</c:v>
                </c:pt>
                <c:pt idx="14">
                  <c:v>2005</c:v>
                </c:pt>
                <c:pt idx="15">
                  <c:v>2021</c:v>
                </c:pt>
                <c:pt idx="16">
                  <c:v>1970</c:v>
                </c:pt>
                <c:pt idx="17">
                  <c:v>1850</c:v>
                </c:pt>
                <c:pt idx="18">
                  <c:v>1838</c:v>
                </c:pt>
                <c:pt idx="19">
                  <c:v>2194</c:v>
                </c:pt>
                <c:pt idx="20">
                  <c:v>2035</c:v>
                </c:pt>
                <c:pt idx="21">
                  <c:v>2044</c:v>
                </c:pt>
                <c:pt idx="22">
                  <c:v>1944</c:v>
                </c:pt>
                <c:pt idx="23">
                  <c:v>1797</c:v>
                </c:pt>
                <c:pt idx="24">
                  <c:v>1989</c:v>
                </c:pt>
                <c:pt idx="25">
                  <c:v>1779</c:v>
                </c:pt>
                <c:pt idx="26">
                  <c:v>1789</c:v>
                </c:pt>
                <c:pt idx="27">
                  <c:v>1695</c:v>
                </c:pt>
                <c:pt idx="28">
                  <c:v>1938</c:v>
                </c:pt>
                <c:pt idx="29">
                  <c:v>1900</c:v>
                </c:pt>
                <c:pt idx="30">
                  <c:v>1933</c:v>
                </c:pt>
                <c:pt idx="31">
                  <c:v>1900</c:v>
                </c:pt>
                <c:pt idx="32">
                  <c:v>1849</c:v>
                </c:pt>
                <c:pt idx="33">
                  <c:v>2031</c:v>
                </c:pt>
                <c:pt idx="34">
                  <c:v>2231</c:v>
                </c:pt>
                <c:pt idx="35">
                  <c:v>2217</c:v>
                </c:pt>
                <c:pt idx="36">
                  <c:v>2096</c:v>
                </c:pt>
                <c:pt idx="37">
                  <c:v>2163</c:v>
                </c:pt>
                <c:pt idx="38">
                  <c:v>1939</c:v>
                </c:pt>
                <c:pt idx="39">
                  <c:v>1911</c:v>
                </c:pt>
                <c:pt idx="40">
                  <c:v>1693</c:v>
                </c:pt>
                <c:pt idx="41">
                  <c:v>1829</c:v>
                </c:pt>
                <c:pt idx="42">
                  <c:v>1804</c:v>
                </c:pt>
                <c:pt idx="43">
                  <c:v>1918</c:v>
                </c:pt>
                <c:pt idx="44">
                  <c:v>1994</c:v>
                </c:pt>
                <c:pt idx="45">
                  <c:v>2082</c:v>
                </c:pt>
                <c:pt idx="46">
                  <c:v>2054</c:v>
                </c:pt>
                <c:pt idx="47">
                  <c:v>2103</c:v>
                </c:pt>
                <c:pt idx="48">
                  <c:v>2039</c:v>
                </c:pt>
                <c:pt idx="49">
                  <c:v>2107</c:v>
                </c:pt>
                <c:pt idx="50">
                  <c:v>2166</c:v>
                </c:pt>
                <c:pt idx="51">
                  <c:v>2004</c:v>
                </c:pt>
                <c:pt idx="52">
                  <c:v>2058</c:v>
                </c:pt>
                <c:pt idx="53">
                  <c:v>1961</c:v>
                </c:pt>
                <c:pt idx="54">
                  <c:v>2071</c:v>
                </c:pt>
                <c:pt idx="55">
                  <c:v>1979</c:v>
                </c:pt>
                <c:pt idx="56">
                  <c:v>1867</c:v>
                </c:pt>
                <c:pt idx="57">
                  <c:v>1969</c:v>
                </c:pt>
                <c:pt idx="58">
                  <c:v>2001</c:v>
                </c:pt>
                <c:pt idx="59">
                  <c:v>2053</c:v>
                </c:pt>
                <c:pt idx="60">
                  <c:v>1990</c:v>
                </c:pt>
                <c:pt idx="61">
                  <c:v>1983</c:v>
                </c:pt>
                <c:pt idx="62">
                  <c:v>1969</c:v>
                </c:pt>
                <c:pt idx="63">
                  <c:v>1916</c:v>
                </c:pt>
                <c:pt idx="64">
                  <c:v>2000</c:v>
                </c:pt>
                <c:pt idx="65">
                  <c:v>2087</c:v>
                </c:pt>
                <c:pt idx="66">
                  <c:v>2251</c:v>
                </c:pt>
                <c:pt idx="67">
                  <c:v>2165</c:v>
                </c:pt>
                <c:pt idx="68">
                  <c:v>2119</c:v>
                </c:pt>
                <c:pt idx="69">
                  <c:v>2138</c:v>
                </c:pt>
                <c:pt idx="70">
                  <c:v>2169</c:v>
                </c:pt>
                <c:pt idx="71">
                  <c:v>2155</c:v>
                </c:pt>
                <c:pt idx="72">
                  <c:v>2107</c:v>
                </c:pt>
                <c:pt idx="73">
                  <c:v>1964</c:v>
                </c:pt>
                <c:pt idx="74">
                  <c:v>1934</c:v>
                </c:pt>
                <c:pt idx="75">
                  <c:v>1923</c:v>
                </c:pt>
                <c:pt idx="76">
                  <c:v>1950</c:v>
                </c:pt>
                <c:pt idx="77">
                  <c:v>1809</c:v>
                </c:pt>
                <c:pt idx="78">
                  <c:v>1838</c:v>
                </c:pt>
                <c:pt idx="79">
                  <c:v>2036</c:v>
                </c:pt>
                <c:pt idx="80">
                  <c:v>2048</c:v>
                </c:pt>
                <c:pt idx="81">
                  <c:v>2284</c:v>
                </c:pt>
                <c:pt idx="82">
                  <c:v>2296</c:v>
                </c:pt>
                <c:pt idx="83">
                  <c:v>2157</c:v>
                </c:pt>
                <c:pt idx="84">
                  <c:v>2038</c:v>
                </c:pt>
                <c:pt idx="85">
                  <c:v>2040</c:v>
                </c:pt>
                <c:pt idx="86">
                  <c:v>1963</c:v>
                </c:pt>
                <c:pt idx="87">
                  <c:v>2030</c:v>
                </c:pt>
                <c:pt idx="88">
                  <c:v>2114</c:v>
                </c:pt>
                <c:pt idx="89">
                  <c:v>1994</c:v>
                </c:pt>
                <c:pt idx="90">
                  <c:v>2048</c:v>
                </c:pt>
                <c:pt idx="91">
                  <c:v>2093</c:v>
                </c:pt>
                <c:pt idx="92">
                  <c:v>1907</c:v>
                </c:pt>
                <c:pt idx="93">
                  <c:v>1816</c:v>
                </c:pt>
                <c:pt idx="94">
                  <c:v>1882</c:v>
                </c:pt>
                <c:pt idx="95">
                  <c:v>2041</c:v>
                </c:pt>
                <c:pt idx="96">
                  <c:v>2111</c:v>
                </c:pt>
                <c:pt idx="97">
                  <c:v>1995</c:v>
                </c:pt>
                <c:pt idx="98">
                  <c:v>2040</c:v>
                </c:pt>
                <c:pt idx="99">
                  <c:v>1835</c:v>
                </c:pt>
                <c:pt idx="100">
                  <c:v>1774</c:v>
                </c:pt>
                <c:pt idx="101">
                  <c:v>1872</c:v>
                </c:pt>
                <c:pt idx="102">
                  <c:v>2020</c:v>
                </c:pt>
                <c:pt idx="103">
                  <c:v>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7-472C-9CE0-CEC6FB0222B6}"/>
            </c:ext>
          </c:extLst>
        </c:ser>
        <c:ser>
          <c:idx val="1"/>
          <c:order val="1"/>
          <c:tx>
            <c:strRef>
              <c:f>Actual_vs_OLS_vs_Ridge!$B$1</c:f>
              <c:strCache>
                <c:ptCount val="1"/>
                <c:pt idx="0">
                  <c:v>Y_pred_Ridge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Actual_vs_OLS_vs_Ridge!$B$2:$B$105</c:f>
              <c:numCache>
                <c:formatCode>General</c:formatCode>
                <c:ptCount val="104"/>
                <c:pt idx="0">
                  <c:v>1574.2095725315901</c:v>
                </c:pt>
                <c:pt idx="1">
                  <c:v>1600.2050290699699</c:v>
                </c:pt>
                <c:pt idx="2">
                  <c:v>1770.78733157122</c:v>
                </c:pt>
                <c:pt idx="3">
                  <c:v>1790.4561207325601</c:v>
                </c:pt>
                <c:pt idx="4">
                  <c:v>1776.09723239606</c:v>
                </c:pt>
                <c:pt idx="5">
                  <c:v>1784.7634492756099</c:v>
                </c:pt>
                <c:pt idx="6">
                  <c:v>1825.7472706501101</c:v>
                </c:pt>
                <c:pt idx="7">
                  <c:v>1840.6791214218899</c:v>
                </c:pt>
                <c:pt idx="8">
                  <c:v>1800.7516017483499</c:v>
                </c:pt>
                <c:pt idx="9">
                  <c:v>1815.45509930956</c:v>
                </c:pt>
                <c:pt idx="10">
                  <c:v>1862.0470335605</c:v>
                </c:pt>
                <c:pt idx="11">
                  <c:v>1899.3573597632001</c:v>
                </c:pt>
                <c:pt idx="12">
                  <c:v>1887.2994342955701</c:v>
                </c:pt>
                <c:pt idx="13">
                  <c:v>1908.6847431036999</c:v>
                </c:pt>
                <c:pt idx="14">
                  <c:v>1979.06181350003</c:v>
                </c:pt>
                <c:pt idx="15">
                  <c:v>1990.6304080478501</c:v>
                </c:pt>
                <c:pt idx="16">
                  <c:v>1993.3210472343001</c:v>
                </c:pt>
                <c:pt idx="17">
                  <c:v>1900.0548018796001</c:v>
                </c:pt>
                <c:pt idx="18">
                  <c:v>1903.6734558262699</c:v>
                </c:pt>
                <c:pt idx="19">
                  <c:v>2069.3139573622502</c:v>
                </c:pt>
                <c:pt idx="20">
                  <c:v>1995.3513920571099</c:v>
                </c:pt>
                <c:pt idx="21">
                  <c:v>1968.36308462278</c:v>
                </c:pt>
                <c:pt idx="22">
                  <c:v>1972.6321175504399</c:v>
                </c:pt>
                <c:pt idx="23">
                  <c:v>1897.0081578591401</c:v>
                </c:pt>
                <c:pt idx="24">
                  <c:v>1988.0462325870701</c:v>
                </c:pt>
                <c:pt idx="25">
                  <c:v>1844.5627041006001</c:v>
                </c:pt>
                <c:pt idx="26">
                  <c:v>1839.7035365311499</c:v>
                </c:pt>
                <c:pt idx="27">
                  <c:v>1882.2269601539799</c:v>
                </c:pt>
                <c:pt idx="28">
                  <c:v>1997.5903834026601</c:v>
                </c:pt>
                <c:pt idx="29">
                  <c:v>1919.93062601978</c:v>
                </c:pt>
                <c:pt idx="30">
                  <c:v>1990.2709618415399</c:v>
                </c:pt>
                <c:pt idx="31">
                  <c:v>1959.5770771488101</c:v>
                </c:pt>
                <c:pt idx="32">
                  <c:v>1891.39599478901</c:v>
                </c:pt>
                <c:pt idx="33">
                  <c:v>1938.16249645157</c:v>
                </c:pt>
                <c:pt idx="34">
                  <c:v>2089.7188363506302</c:v>
                </c:pt>
                <c:pt idx="35">
                  <c:v>2064.51842590365</c:v>
                </c:pt>
                <c:pt idx="36">
                  <c:v>2006.95606574467</c:v>
                </c:pt>
                <c:pt idx="37">
                  <c:v>2073.2194828746801</c:v>
                </c:pt>
                <c:pt idx="38">
                  <c:v>1910.50383332196</c:v>
                </c:pt>
                <c:pt idx="39">
                  <c:v>1913.87807674941</c:v>
                </c:pt>
                <c:pt idx="40">
                  <c:v>1827.89217032529</c:v>
                </c:pt>
                <c:pt idx="41">
                  <c:v>1953.0742480782501</c:v>
                </c:pt>
                <c:pt idx="42">
                  <c:v>1944.3624519679499</c:v>
                </c:pt>
                <c:pt idx="43">
                  <c:v>1986.63409259744</c:v>
                </c:pt>
                <c:pt idx="44">
                  <c:v>1973.9194078066801</c:v>
                </c:pt>
                <c:pt idx="45">
                  <c:v>2011.9738542632199</c:v>
                </c:pt>
                <c:pt idx="46">
                  <c:v>1981.9850161777999</c:v>
                </c:pt>
                <c:pt idx="47">
                  <c:v>2018.12931579107</c:v>
                </c:pt>
                <c:pt idx="48">
                  <c:v>1961.8975342280701</c:v>
                </c:pt>
                <c:pt idx="49">
                  <c:v>1987.2252967653201</c:v>
                </c:pt>
                <c:pt idx="50">
                  <c:v>2027.6147949880101</c:v>
                </c:pt>
                <c:pt idx="51">
                  <c:v>1975.3584011806399</c:v>
                </c:pt>
                <c:pt idx="52">
                  <c:v>1935.8702879402199</c:v>
                </c:pt>
                <c:pt idx="53">
                  <c:v>1957.10470104362</c:v>
                </c:pt>
                <c:pt idx="54">
                  <c:v>1990.4819160879199</c:v>
                </c:pt>
                <c:pt idx="55">
                  <c:v>1972.1157954549899</c:v>
                </c:pt>
                <c:pt idx="56">
                  <c:v>1896.75521199013</c:v>
                </c:pt>
                <c:pt idx="57">
                  <c:v>1920.8355965005101</c:v>
                </c:pt>
                <c:pt idx="58">
                  <c:v>1992.40052795458</c:v>
                </c:pt>
                <c:pt idx="59">
                  <c:v>1967.8963738831701</c:v>
                </c:pt>
                <c:pt idx="60">
                  <c:v>1957.55329349516</c:v>
                </c:pt>
                <c:pt idx="61">
                  <c:v>1950.04610288863</c:v>
                </c:pt>
                <c:pt idx="62">
                  <c:v>1983.00488824577</c:v>
                </c:pt>
                <c:pt idx="63">
                  <c:v>1930.5432723556501</c:v>
                </c:pt>
                <c:pt idx="64">
                  <c:v>1976.8431118842</c:v>
                </c:pt>
                <c:pt idx="65">
                  <c:v>2039.1626302739701</c:v>
                </c:pt>
                <c:pt idx="66">
                  <c:v>2129.91328732896</c:v>
                </c:pt>
                <c:pt idx="67">
                  <c:v>2081.9743133584898</c:v>
                </c:pt>
                <c:pt idx="68">
                  <c:v>2061.33348368524</c:v>
                </c:pt>
                <c:pt idx="69">
                  <c:v>2055.9590482664198</c:v>
                </c:pt>
                <c:pt idx="70">
                  <c:v>2103.17129579931</c:v>
                </c:pt>
                <c:pt idx="71">
                  <c:v>2096.2238537082499</c:v>
                </c:pt>
                <c:pt idx="72">
                  <c:v>2053.0851800669502</c:v>
                </c:pt>
                <c:pt idx="73">
                  <c:v>2042.9431172694301</c:v>
                </c:pt>
                <c:pt idx="74">
                  <c:v>2002.53968295048</c:v>
                </c:pt>
                <c:pt idx="75">
                  <c:v>1998.45909756728</c:v>
                </c:pt>
                <c:pt idx="76">
                  <c:v>1994.9907847817899</c:v>
                </c:pt>
                <c:pt idx="77">
                  <c:v>1935.1041357689201</c:v>
                </c:pt>
                <c:pt idx="78">
                  <c:v>2004.5843059137701</c:v>
                </c:pt>
                <c:pt idx="79">
                  <c:v>1984.2085297799899</c:v>
                </c:pt>
                <c:pt idx="80">
                  <c:v>2005.58541944026</c:v>
                </c:pt>
                <c:pt idx="81">
                  <c:v>2160.8297769033002</c:v>
                </c:pt>
                <c:pt idx="82">
                  <c:v>2112.20206390166</c:v>
                </c:pt>
                <c:pt idx="83">
                  <c:v>2072.6198605058698</c:v>
                </c:pt>
                <c:pt idx="84">
                  <c:v>1991.80862721976</c:v>
                </c:pt>
                <c:pt idx="85">
                  <c:v>2012.10835081353</c:v>
                </c:pt>
                <c:pt idx="86">
                  <c:v>2013.54140155492</c:v>
                </c:pt>
                <c:pt idx="87">
                  <c:v>1995.8884589408301</c:v>
                </c:pt>
                <c:pt idx="88">
                  <c:v>2005.4943565590499</c:v>
                </c:pt>
                <c:pt idx="89">
                  <c:v>1991.54127612097</c:v>
                </c:pt>
                <c:pt idx="90">
                  <c:v>1993.07975422715</c:v>
                </c:pt>
                <c:pt idx="91">
                  <c:v>2039.6850833625599</c:v>
                </c:pt>
                <c:pt idx="92">
                  <c:v>2009.2714640192601</c:v>
                </c:pt>
                <c:pt idx="93">
                  <c:v>1948.2431280109899</c:v>
                </c:pt>
                <c:pt idx="94">
                  <c:v>1947.75137948629</c:v>
                </c:pt>
                <c:pt idx="95">
                  <c:v>2038.31641986105</c:v>
                </c:pt>
                <c:pt idx="96">
                  <c:v>2058.6155416036299</c:v>
                </c:pt>
                <c:pt idx="97">
                  <c:v>1983.36640879845</c:v>
                </c:pt>
                <c:pt idx="98">
                  <c:v>1999.47017686714</c:v>
                </c:pt>
                <c:pt idx="99">
                  <c:v>1933.3112903132201</c:v>
                </c:pt>
                <c:pt idx="100">
                  <c:v>1889.42125123806</c:v>
                </c:pt>
                <c:pt idx="101">
                  <c:v>1901.08900178923</c:v>
                </c:pt>
                <c:pt idx="102">
                  <c:v>1973.48304336673</c:v>
                </c:pt>
                <c:pt idx="103">
                  <c:v>1988.79420173482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7-472C-9CE0-CEC6FB0222B6}"/>
            </c:ext>
          </c:extLst>
        </c:ser>
        <c:ser>
          <c:idx val="2"/>
          <c:order val="2"/>
          <c:tx>
            <c:strRef>
              <c:f>Actual_vs_OLS_vs_Ridge!$C$1</c:f>
              <c:strCache>
                <c:ptCount val="1"/>
                <c:pt idx="0">
                  <c:v>Y_pred_OLS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Actual_vs_OLS_vs_Ridge!$C$2:$C$105</c:f>
              <c:numCache>
                <c:formatCode>General</c:formatCode>
                <c:ptCount val="104"/>
                <c:pt idx="0">
                  <c:v>1202.9059259568101</c:v>
                </c:pt>
                <c:pt idx="1">
                  <c:v>1229.8315794386201</c:v>
                </c:pt>
                <c:pt idx="2">
                  <c:v>1729.05320472126</c:v>
                </c:pt>
                <c:pt idx="3">
                  <c:v>1806.43596179267</c:v>
                </c:pt>
                <c:pt idx="4">
                  <c:v>1699.0777493170399</c:v>
                </c:pt>
                <c:pt idx="5">
                  <c:v>1739.77121363011</c:v>
                </c:pt>
                <c:pt idx="6">
                  <c:v>1815.5952826092901</c:v>
                </c:pt>
                <c:pt idx="7">
                  <c:v>1743.4315515257099</c:v>
                </c:pt>
                <c:pt idx="8">
                  <c:v>1775.7106886695101</c:v>
                </c:pt>
                <c:pt idx="9">
                  <c:v>1738.8524714283701</c:v>
                </c:pt>
                <c:pt idx="10">
                  <c:v>1902.79500711623</c:v>
                </c:pt>
                <c:pt idx="11">
                  <c:v>1938.1507295758199</c:v>
                </c:pt>
                <c:pt idx="12">
                  <c:v>1882.21108892961</c:v>
                </c:pt>
                <c:pt idx="13">
                  <c:v>1940.60391687016</c:v>
                </c:pt>
                <c:pt idx="14">
                  <c:v>2006.85556917453</c:v>
                </c:pt>
                <c:pt idx="15">
                  <c:v>2014.62064141726</c:v>
                </c:pt>
                <c:pt idx="16">
                  <c:v>1958.2833726988299</c:v>
                </c:pt>
                <c:pt idx="17">
                  <c:v>1858.0440481119499</c:v>
                </c:pt>
                <c:pt idx="18">
                  <c:v>1851.7719360142401</c:v>
                </c:pt>
                <c:pt idx="19">
                  <c:v>2150.5147080647498</c:v>
                </c:pt>
                <c:pt idx="20">
                  <c:v>2025.2970525964299</c:v>
                </c:pt>
                <c:pt idx="21">
                  <c:v>2030.3668966917501</c:v>
                </c:pt>
                <c:pt idx="22">
                  <c:v>1942.0146324484101</c:v>
                </c:pt>
                <c:pt idx="23">
                  <c:v>1827.0231947616401</c:v>
                </c:pt>
                <c:pt idx="24">
                  <c:v>1953.32199321232</c:v>
                </c:pt>
                <c:pt idx="25">
                  <c:v>1790.82010171915</c:v>
                </c:pt>
                <c:pt idx="26">
                  <c:v>1778.9075987152401</c:v>
                </c:pt>
                <c:pt idx="27">
                  <c:v>1724.80297366121</c:v>
                </c:pt>
                <c:pt idx="28">
                  <c:v>1982.16295561071</c:v>
                </c:pt>
                <c:pt idx="29">
                  <c:v>1882.8437614176901</c:v>
                </c:pt>
                <c:pt idx="30">
                  <c:v>1957.8315848242801</c:v>
                </c:pt>
                <c:pt idx="31">
                  <c:v>1952.58514336947</c:v>
                </c:pt>
                <c:pt idx="32">
                  <c:v>1834.22434229129</c:v>
                </c:pt>
                <c:pt idx="33">
                  <c:v>1973.15780476947</c:v>
                </c:pt>
                <c:pt idx="34">
                  <c:v>2207.0128997759698</c:v>
                </c:pt>
                <c:pt idx="35">
                  <c:v>2233.2705884614902</c:v>
                </c:pt>
                <c:pt idx="36">
                  <c:v>2091.7549178522299</c:v>
                </c:pt>
                <c:pt idx="37">
                  <c:v>2146.4562091438402</c:v>
                </c:pt>
                <c:pt idx="38">
                  <c:v>1914.6845689525001</c:v>
                </c:pt>
                <c:pt idx="39">
                  <c:v>1918.93206481315</c:v>
                </c:pt>
                <c:pt idx="40">
                  <c:v>1691.7620645167799</c:v>
                </c:pt>
                <c:pt idx="41">
                  <c:v>1827.3938185657701</c:v>
                </c:pt>
                <c:pt idx="42">
                  <c:v>1800.8855362494501</c:v>
                </c:pt>
                <c:pt idx="43">
                  <c:v>1928.93549429827</c:v>
                </c:pt>
                <c:pt idx="44">
                  <c:v>2003.7180156069201</c:v>
                </c:pt>
                <c:pt idx="45">
                  <c:v>2063.9099201951299</c:v>
                </c:pt>
                <c:pt idx="46">
                  <c:v>2048.25974247568</c:v>
                </c:pt>
                <c:pt idx="47">
                  <c:v>2113.5277422271402</c:v>
                </c:pt>
                <c:pt idx="48">
                  <c:v>2020.5721756156299</c:v>
                </c:pt>
                <c:pt idx="49">
                  <c:v>2143.0429945327301</c:v>
                </c:pt>
                <c:pt idx="50">
                  <c:v>2145.0009787628701</c:v>
                </c:pt>
                <c:pt idx="51">
                  <c:v>2014.86603110022</c:v>
                </c:pt>
                <c:pt idx="52">
                  <c:v>1988.88439827619</c:v>
                </c:pt>
                <c:pt idx="53">
                  <c:v>2003.36364613978</c:v>
                </c:pt>
                <c:pt idx="54">
                  <c:v>2101.8866789679901</c:v>
                </c:pt>
                <c:pt idx="55">
                  <c:v>1981.0388614296301</c:v>
                </c:pt>
                <c:pt idx="56">
                  <c:v>1864.5251040405799</c:v>
                </c:pt>
                <c:pt idx="57">
                  <c:v>1930.49447594</c:v>
                </c:pt>
                <c:pt idx="58">
                  <c:v>2036.80192726014</c:v>
                </c:pt>
                <c:pt idx="59">
                  <c:v>2052.0196068819</c:v>
                </c:pt>
                <c:pt idx="60">
                  <c:v>1976.35277584295</c:v>
                </c:pt>
                <c:pt idx="61">
                  <c:v>1976.8278638815</c:v>
                </c:pt>
                <c:pt idx="62">
                  <c:v>2004.7309517736401</c:v>
                </c:pt>
                <c:pt idx="63">
                  <c:v>1889.62610240308</c:v>
                </c:pt>
                <c:pt idx="64">
                  <c:v>1988.2853024234901</c:v>
                </c:pt>
                <c:pt idx="65">
                  <c:v>2079.8823991827599</c:v>
                </c:pt>
                <c:pt idx="66">
                  <c:v>2257.1822237114702</c:v>
                </c:pt>
                <c:pt idx="67">
                  <c:v>2168.6438527957298</c:v>
                </c:pt>
                <c:pt idx="68">
                  <c:v>2124.9804783704699</c:v>
                </c:pt>
                <c:pt idx="69">
                  <c:v>2122.7923158938802</c:v>
                </c:pt>
                <c:pt idx="70">
                  <c:v>2177.6557064820799</c:v>
                </c:pt>
                <c:pt idx="71">
                  <c:v>2174.6452157446402</c:v>
                </c:pt>
                <c:pt idx="72">
                  <c:v>2128.4601330390301</c:v>
                </c:pt>
                <c:pt idx="73">
                  <c:v>1976.44172519676</c:v>
                </c:pt>
                <c:pt idx="74">
                  <c:v>1918.77725039955</c:v>
                </c:pt>
                <c:pt idx="75">
                  <c:v>1929.0021207966099</c:v>
                </c:pt>
                <c:pt idx="76">
                  <c:v>1936.3455720428201</c:v>
                </c:pt>
                <c:pt idx="77">
                  <c:v>1795.0859894627799</c:v>
                </c:pt>
                <c:pt idx="78">
                  <c:v>1847.8823738692099</c:v>
                </c:pt>
                <c:pt idx="79">
                  <c:v>2002.2178392614801</c:v>
                </c:pt>
                <c:pt idx="80">
                  <c:v>2059.2478953695099</c:v>
                </c:pt>
                <c:pt idx="81">
                  <c:v>2303.8281665231002</c:v>
                </c:pt>
                <c:pt idx="82">
                  <c:v>2287.4069347056002</c:v>
                </c:pt>
                <c:pt idx="83">
                  <c:v>2205.27990620234</c:v>
                </c:pt>
                <c:pt idx="84">
                  <c:v>2045.09832484148</c:v>
                </c:pt>
                <c:pt idx="85">
                  <c:v>2018.7595229506201</c:v>
                </c:pt>
                <c:pt idx="86">
                  <c:v>2009.5505102233601</c:v>
                </c:pt>
                <c:pt idx="87">
                  <c:v>1995.32121066743</c:v>
                </c:pt>
                <c:pt idx="88">
                  <c:v>2082.3210110830901</c:v>
                </c:pt>
                <c:pt idx="89">
                  <c:v>2004.25433670543</c:v>
                </c:pt>
                <c:pt idx="90">
                  <c:v>2050.1222567478599</c:v>
                </c:pt>
                <c:pt idx="91">
                  <c:v>2076.4833251953401</c:v>
                </c:pt>
                <c:pt idx="92">
                  <c:v>1923.0149844991799</c:v>
                </c:pt>
                <c:pt idx="93">
                  <c:v>1804.05284420667</c:v>
                </c:pt>
                <c:pt idx="94">
                  <c:v>1898.6262507849999</c:v>
                </c:pt>
                <c:pt idx="95">
                  <c:v>2054.6317538414601</c:v>
                </c:pt>
                <c:pt idx="96">
                  <c:v>2127.4662921211302</c:v>
                </c:pt>
                <c:pt idx="97">
                  <c:v>1986.2417936306999</c:v>
                </c:pt>
                <c:pt idx="98">
                  <c:v>2010.8691733421199</c:v>
                </c:pt>
                <c:pt idx="99">
                  <c:v>1832.2662150435999</c:v>
                </c:pt>
                <c:pt idx="100">
                  <c:v>1797.7643790131599</c:v>
                </c:pt>
                <c:pt idx="101">
                  <c:v>1898.3497858675</c:v>
                </c:pt>
                <c:pt idx="102">
                  <c:v>2015.35413991419</c:v>
                </c:pt>
                <c:pt idx="103">
                  <c:v>2050.9936487118598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7-472C-9CE0-CEC6FB02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824848"/>
        <c:axId val="1203826768"/>
      </c:lineChart>
      <c:catAx>
        <c:axId val="120382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26768"/>
        <c:crosses val="autoZero"/>
        <c:auto val="1"/>
        <c:lblAlgn val="ctr"/>
        <c:lblOffset val="100"/>
        <c:noMultiLvlLbl val="0"/>
      </c:catAx>
      <c:valAx>
        <c:axId val="1203826768"/>
        <c:scaling>
          <c:orientation val="minMax"/>
          <c:max val="2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2484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Hill_Saturation!$P$2</c:f>
              <c:strCache>
                <c:ptCount val="1"/>
                <c:pt idx="0">
                  <c:v>tv_spend_lakhs_sat_50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Hill_Saturation!$D$3:$D$202</c:f>
              <c:numCache>
                <c:formatCode>General</c:formatCode>
                <c:ptCount val="200"/>
                <c:pt idx="0">
                  <c:v>0</c:v>
                </c:pt>
                <c:pt idx="1">
                  <c:v>0.23770650707318502</c:v>
                </c:pt>
                <c:pt idx="2">
                  <c:v>0.47541301414637005</c:v>
                </c:pt>
                <c:pt idx="3">
                  <c:v>0.71311952121955513</c:v>
                </c:pt>
                <c:pt idx="4">
                  <c:v>0.9508260282927401</c:v>
                </c:pt>
                <c:pt idx="5">
                  <c:v>1.1885325353659251</c:v>
                </c:pt>
                <c:pt idx="6">
                  <c:v>1.42623904243911</c:v>
                </c:pt>
                <c:pt idx="7">
                  <c:v>1.663945549512295</c:v>
                </c:pt>
                <c:pt idx="8">
                  <c:v>1.90165205658548</c:v>
                </c:pt>
                <c:pt idx="9">
                  <c:v>2.1393585636586652</c:v>
                </c:pt>
                <c:pt idx="10">
                  <c:v>2.3770650707318501</c:v>
                </c:pt>
                <c:pt idx="11">
                  <c:v>2.6147715778050351</c:v>
                </c:pt>
                <c:pt idx="12">
                  <c:v>2.8524780848782201</c:v>
                </c:pt>
                <c:pt idx="13">
                  <c:v>3.090184591951405</c:v>
                </c:pt>
                <c:pt idx="14">
                  <c:v>3.32789109902459</c:v>
                </c:pt>
                <c:pt idx="15">
                  <c:v>3.565597606097775</c:v>
                </c:pt>
                <c:pt idx="16">
                  <c:v>3.80330411317096</c:v>
                </c:pt>
                <c:pt idx="17">
                  <c:v>4.0410106202441449</c:v>
                </c:pt>
                <c:pt idx="18">
                  <c:v>4.2787171273173303</c:v>
                </c:pt>
                <c:pt idx="19">
                  <c:v>4.5164236343905158</c:v>
                </c:pt>
                <c:pt idx="20">
                  <c:v>4.7541301414637012</c:v>
                </c:pt>
                <c:pt idx="21">
                  <c:v>4.9918366485368866</c:v>
                </c:pt>
                <c:pt idx="22">
                  <c:v>5.229543155610072</c:v>
                </c:pt>
                <c:pt idx="23">
                  <c:v>5.4672496626832574</c:v>
                </c:pt>
                <c:pt idx="24">
                  <c:v>5.7049561697564428</c:v>
                </c:pt>
                <c:pt idx="25">
                  <c:v>5.9426626768296282</c:v>
                </c:pt>
                <c:pt idx="26">
                  <c:v>6.1803691839028136</c:v>
                </c:pt>
                <c:pt idx="27">
                  <c:v>6.4180756909759991</c:v>
                </c:pt>
                <c:pt idx="28">
                  <c:v>6.6557821980491845</c:v>
                </c:pt>
                <c:pt idx="29">
                  <c:v>6.8934887051223699</c:v>
                </c:pt>
                <c:pt idx="30">
                  <c:v>7.1311952121955553</c:v>
                </c:pt>
                <c:pt idx="31">
                  <c:v>7.3689017192687407</c:v>
                </c:pt>
                <c:pt idx="32">
                  <c:v>7.6066082263419261</c:v>
                </c:pt>
                <c:pt idx="33">
                  <c:v>7.8443147334151115</c:v>
                </c:pt>
                <c:pt idx="34">
                  <c:v>8.082021240488297</c:v>
                </c:pt>
                <c:pt idx="35">
                  <c:v>8.3197277475614815</c:v>
                </c:pt>
                <c:pt idx="36">
                  <c:v>8.557434254634666</c:v>
                </c:pt>
                <c:pt idx="37">
                  <c:v>8.7951407617078505</c:v>
                </c:pt>
                <c:pt idx="38">
                  <c:v>9.0328472687810351</c:v>
                </c:pt>
                <c:pt idx="39">
                  <c:v>9.2705537758542196</c:v>
                </c:pt>
                <c:pt idx="40">
                  <c:v>9.5082602829274041</c:v>
                </c:pt>
                <c:pt idx="41">
                  <c:v>9.7459667900005886</c:v>
                </c:pt>
                <c:pt idx="42">
                  <c:v>9.9836732970737732</c:v>
                </c:pt>
                <c:pt idx="43">
                  <c:v>10.221379804146958</c:v>
                </c:pt>
                <c:pt idx="44">
                  <c:v>10.459086311220142</c:v>
                </c:pt>
                <c:pt idx="45">
                  <c:v>10.696792818293327</c:v>
                </c:pt>
                <c:pt idx="46">
                  <c:v>10.934499325366511</c:v>
                </c:pt>
                <c:pt idx="47">
                  <c:v>11.172205832439696</c:v>
                </c:pt>
                <c:pt idx="48">
                  <c:v>11.40991233951288</c:v>
                </c:pt>
                <c:pt idx="49">
                  <c:v>11.647618846586065</c:v>
                </c:pt>
                <c:pt idx="50">
                  <c:v>11.885325353659249</c:v>
                </c:pt>
                <c:pt idx="51">
                  <c:v>12.123031860732434</c:v>
                </c:pt>
                <c:pt idx="52">
                  <c:v>12.360738367805618</c:v>
                </c:pt>
                <c:pt idx="53">
                  <c:v>12.598444874878803</c:v>
                </c:pt>
                <c:pt idx="54">
                  <c:v>12.836151381951987</c:v>
                </c:pt>
                <c:pt idx="55">
                  <c:v>13.073857889025172</c:v>
                </c:pt>
                <c:pt idx="56">
                  <c:v>13.311564396098357</c:v>
                </c:pt>
                <c:pt idx="57">
                  <c:v>13.549270903171541</c:v>
                </c:pt>
                <c:pt idx="58">
                  <c:v>13.786977410244726</c:v>
                </c:pt>
                <c:pt idx="59">
                  <c:v>14.02468391731791</c:v>
                </c:pt>
                <c:pt idx="60">
                  <c:v>14.262390424391095</c:v>
                </c:pt>
                <c:pt idx="61">
                  <c:v>14.500096931464279</c:v>
                </c:pt>
                <c:pt idx="62">
                  <c:v>14.737803438537464</c:v>
                </c:pt>
                <c:pt idx="63">
                  <c:v>14.975509945610648</c:v>
                </c:pt>
                <c:pt idx="64">
                  <c:v>15.213216452683833</c:v>
                </c:pt>
                <c:pt idx="65">
                  <c:v>15.450922959757017</c:v>
                </c:pt>
                <c:pt idx="66">
                  <c:v>15.688629466830202</c:v>
                </c:pt>
                <c:pt idx="67">
                  <c:v>15.926335973903386</c:v>
                </c:pt>
                <c:pt idx="68">
                  <c:v>16.164042480976573</c:v>
                </c:pt>
                <c:pt idx="69">
                  <c:v>16.401748988049757</c:v>
                </c:pt>
                <c:pt idx="70">
                  <c:v>16.639455495122942</c:v>
                </c:pt>
                <c:pt idx="71">
                  <c:v>16.877162002196126</c:v>
                </c:pt>
                <c:pt idx="72">
                  <c:v>17.114868509269311</c:v>
                </c:pt>
                <c:pt idx="73">
                  <c:v>17.352575016342495</c:v>
                </c:pt>
                <c:pt idx="74">
                  <c:v>17.59028152341568</c:v>
                </c:pt>
                <c:pt idx="75">
                  <c:v>17.827988030488864</c:v>
                </c:pt>
                <c:pt idx="76">
                  <c:v>18.065694537562049</c:v>
                </c:pt>
                <c:pt idx="77">
                  <c:v>18.303401044635233</c:v>
                </c:pt>
                <c:pt idx="78">
                  <c:v>18.541107551708418</c:v>
                </c:pt>
                <c:pt idx="79">
                  <c:v>18.778814058781602</c:v>
                </c:pt>
                <c:pt idx="80">
                  <c:v>19.016520565854787</c:v>
                </c:pt>
                <c:pt idx="81">
                  <c:v>19.254227072927971</c:v>
                </c:pt>
                <c:pt idx="82">
                  <c:v>19.491933580001156</c:v>
                </c:pt>
                <c:pt idx="83">
                  <c:v>19.72964008707434</c:v>
                </c:pt>
                <c:pt idx="84">
                  <c:v>19.967346594147525</c:v>
                </c:pt>
                <c:pt idx="85">
                  <c:v>20.20505310122071</c:v>
                </c:pt>
                <c:pt idx="86">
                  <c:v>20.442759608293894</c:v>
                </c:pt>
                <c:pt idx="87">
                  <c:v>20.680466115367079</c:v>
                </c:pt>
                <c:pt idx="88">
                  <c:v>20.918172622440263</c:v>
                </c:pt>
                <c:pt idx="89">
                  <c:v>21.155879129513448</c:v>
                </c:pt>
                <c:pt idx="90">
                  <c:v>21.393585636586632</c:v>
                </c:pt>
                <c:pt idx="91">
                  <c:v>21.631292143659817</c:v>
                </c:pt>
                <c:pt idx="92">
                  <c:v>21.868998650733001</c:v>
                </c:pt>
                <c:pt idx="93">
                  <c:v>22.106705157806186</c:v>
                </c:pt>
                <c:pt idx="94">
                  <c:v>22.34441166487937</c:v>
                </c:pt>
                <c:pt idx="95">
                  <c:v>22.582118171952555</c:v>
                </c:pt>
                <c:pt idx="96">
                  <c:v>22.819824679025739</c:v>
                </c:pt>
                <c:pt idx="97">
                  <c:v>23.057531186098924</c:v>
                </c:pt>
                <c:pt idx="98">
                  <c:v>23.295237693172108</c:v>
                </c:pt>
                <c:pt idx="99">
                  <c:v>23.532944200245293</c:v>
                </c:pt>
                <c:pt idx="100">
                  <c:v>23.770650707318477</c:v>
                </c:pt>
                <c:pt idx="101">
                  <c:v>24.008357214391662</c:v>
                </c:pt>
                <c:pt idx="102">
                  <c:v>24.246063721464846</c:v>
                </c:pt>
                <c:pt idx="103">
                  <c:v>24.483770228538031</c:v>
                </c:pt>
                <c:pt idx="104">
                  <c:v>24.721476735611216</c:v>
                </c:pt>
                <c:pt idx="105">
                  <c:v>24.9591832426844</c:v>
                </c:pt>
                <c:pt idx="106">
                  <c:v>25.196889749757585</c:v>
                </c:pt>
                <c:pt idx="107">
                  <c:v>25.434596256830769</c:v>
                </c:pt>
                <c:pt idx="108">
                  <c:v>25.672302763903954</c:v>
                </c:pt>
                <c:pt idx="109">
                  <c:v>25.910009270977138</c:v>
                </c:pt>
                <c:pt idx="110">
                  <c:v>26.147715778050323</c:v>
                </c:pt>
                <c:pt idx="111">
                  <c:v>26.385422285123507</c:v>
                </c:pt>
                <c:pt idx="112">
                  <c:v>26.623128792196692</c:v>
                </c:pt>
                <c:pt idx="113">
                  <c:v>26.860835299269876</c:v>
                </c:pt>
                <c:pt idx="114">
                  <c:v>27.098541806343061</c:v>
                </c:pt>
                <c:pt idx="115">
                  <c:v>27.336248313416245</c:v>
                </c:pt>
                <c:pt idx="116">
                  <c:v>27.57395482048943</c:v>
                </c:pt>
                <c:pt idx="117">
                  <c:v>27.811661327562614</c:v>
                </c:pt>
                <c:pt idx="118">
                  <c:v>28.049367834635799</c:v>
                </c:pt>
                <c:pt idx="119">
                  <c:v>28.287074341708983</c:v>
                </c:pt>
                <c:pt idx="120">
                  <c:v>28.524780848782168</c:v>
                </c:pt>
                <c:pt idx="121">
                  <c:v>28.762487355855352</c:v>
                </c:pt>
                <c:pt idx="122">
                  <c:v>29.000193862928537</c:v>
                </c:pt>
                <c:pt idx="123">
                  <c:v>29.237900370001721</c:v>
                </c:pt>
                <c:pt idx="124">
                  <c:v>29.475606877074906</c:v>
                </c:pt>
                <c:pt idx="125">
                  <c:v>29.713313384148091</c:v>
                </c:pt>
                <c:pt idx="126">
                  <c:v>29.951019891221275</c:v>
                </c:pt>
                <c:pt idx="127">
                  <c:v>30.18872639829446</c:v>
                </c:pt>
                <c:pt idx="128">
                  <c:v>30.426432905367644</c:v>
                </c:pt>
                <c:pt idx="129">
                  <c:v>30.664139412440829</c:v>
                </c:pt>
                <c:pt idx="130">
                  <c:v>30.901845919514013</c:v>
                </c:pt>
                <c:pt idx="131">
                  <c:v>31.139552426587198</c:v>
                </c:pt>
                <c:pt idx="132">
                  <c:v>31.377258933660382</c:v>
                </c:pt>
                <c:pt idx="133">
                  <c:v>31.614965440733567</c:v>
                </c:pt>
                <c:pt idx="134">
                  <c:v>31.852671947806751</c:v>
                </c:pt>
                <c:pt idx="135">
                  <c:v>32.090378454879939</c:v>
                </c:pt>
                <c:pt idx="136">
                  <c:v>32.328084961953124</c:v>
                </c:pt>
                <c:pt idx="137">
                  <c:v>32.565791469026308</c:v>
                </c:pt>
                <c:pt idx="138">
                  <c:v>32.803497976099493</c:v>
                </c:pt>
                <c:pt idx="139">
                  <c:v>33.041204483172677</c:v>
                </c:pt>
                <c:pt idx="140">
                  <c:v>33.278910990245862</c:v>
                </c:pt>
                <c:pt idx="141">
                  <c:v>33.516617497319046</c:v>
                </c:pt>
                <c:pt idx="142">
                  <c:v>33.754324004392231</c:v>
                </c:pt>
                <c:pt idx="143">
                  <c:v>33.992030511465416</c:v>
                </c:pt>
                <c:pt idx="144">
                  <c:v>34.2297370185386</c:v>
                </c:pt>
                <c:pt idx="145">
                  <c:v>34.467443525611785</c:v>
                </c:pt>
                <c:pt idx="146">
                  <c:v>34.705150032684969</c:v>
                </c:pt>
                <c:pt idx="147">
                  <c:v>34.942856539758154</c:v>
                </c:pt>
                <c:pt idx="148">
                  <c:v>35.180563046831338</c:v>
                </c:pt>
                <c:pt idx="149">
                  <c:v>35.418269553904523</c:v>
                </c:pt>
                <c:pt idx="150">
                  <c:v>35.655976060977707</c:v>
                </c:pt>
                <c:pt idx="151">
                  <c:v>35.893682568050892</c:v>
                </c:pt>
                <c:pt idx="152">
                  <c:v>36.131389075124076</c:v>
                </c:pt>
                <c:pt idx="153">
                  <c:v>36.369095582197261</c:v>
                </c:pt>
                <c:pt idx="154">
                  <c:v>36.606802089270445</c:v>
                </c:pt>
                <c:pt idx="155">
                  <c:v>36.84450859634363</c:v>
                </c:pt>
                <c:pt idx="156">
                  <c:v>37.082215103416814</c:v>
                </c:pt>
                <c:pt idx="157">
                  <c:v>37.319921610489999</c:v>
                </c:pt>
                <c:pt idx="158">
                  <c:v>37.557628117563183</c:v>
                </c:pt>
                <c:pt idx="159">
                  <c:v>37.795334624636368</c:v>
                </c:pt>
                <c:pt idx="160">
                  <c:v>38.033041131709552</c:v>
                </c:pt>
                <c:pt idx="161">
                  <c:v>38.270747638782737</c:v>
                </c:pt>
                <c:pt idx="162">
                  <c:v>38.508454145855922</c:v>
                </c:pt>
                <c:pt idx="163">
                  <c:v>38.746160652929106</c:v>
                </c:pt>
                <c:pt idx="164">
                  <c:v>38.983867160002291</c:v>
                </c:pt>
                <c:pt idx="165">
                  <c:v>39.221573667075475</c:v>
                </c:pt>
                <c:pt idx="166">
                  <c:v>39.45928017414866</c:v>
                </c:pt>
                <c:pt idx="167">
                  <c:v>39.696986681221844</c:v>
                </c:pt>
                <c:pt idx="168">
                  <c:v>39.934693188295029</c:v>
                </c:pt>
                <c:pt idx="169">
                  <c:v>40.172399695368213</c:v>
                </c:pt>
                <c:pt idx="170">
                  <c:v>40.410106202441398</c:v>
                </c:pt>
                <c:pt idx="171">
                  <c:v>40.647812709514582</c:v>
                </c:pt>
                <c:pt idx="172">
                  <c:v>40.885519216587767</c:v>
                </c:pt>
                <c:pt idx="173">
                  <c:v>41.123225723660951</c:v>
                </c:pt>
                <c:pt idx="174">
                  <c:v>41.360932230734136</c:v>
                </c:pt>
                <c:pt idx="175">
                  <c:v>41.59863873780732</c:v>
                </c:pt>
                <c:pt idx="176">
                  <c:v>41.836345244880505</c:v>
                </c:pt>
                <c:pt idx="177">
                  <c:v>42.074051751953689</c:v>
                </c:pt>
                <c:pt idx="178">
                  <c:v>42.311758259026874</c:v>
                </c:pt>
                <c:pt idx="179">
                  <c:v>42.549464766100058</c:v>
                </c:pt>
                <c:pt idx="180">
                  <c:v>42.787171273173243</c:v>
                </c:pt>
                <c:pt idx="181">
                  <c:v>43.024877780246428</c:v>
                </c:pt>
                <c:pt idx="182">
                  <c:v>43.262584287319612</c:v>
                </c:pt>
                <c:pt idx="183">
                  <c:v>43.500290794392797</c:v>
                </c:pt>
                <c:pt idx="184">
                  <c:v>43.737997301465981</c:v>
                </c:pt>
                <c:pt idx="185">
                  <c:v>43.975703808539166</c:v>
                </c:pt>
                <c:pt idx="186">
                  <c:v>44.21341031561235</c:v>
                </c:pt>
                <c:pt idx="187">
                  <c:v>44.451116822685535</c:v>
                </c:pt>
                <c:pt idx="188">
                  <c:v>44.688823329758719</c:v>
                </c:pt>
                <c:pt idx="189">
                  <c:v>44.926529836831904</c:v>
                </c:pt>
                <c:pt idx="190">
                  <c:v>45.164236343905088</c:v>
                </c:pt>
                <c:pt idx="191">
                  <c:v>45.401942850978273</c:v>
                </c:pt>
                <c:pt idx="192">
                  <c:v>45.639649358051457</c:v>
                </c:pt>
                <c:pt idx="193">
                  <c:v>45.877355865124642</c:v>
                </c:pt>
                <c:pt idx="194">
                  <c:v>46.115062372197826</c:v>
                </c:pt>
                <c:pt idx="195">
                  <c:v>46.352768879271011</c:v>
                </c:pt>
                <c:pt idx="196">
                  <c:v>46.590475386344195</c:v>
                </c:pt>
                <c:pt idx="197">
                  <c:v>46.82818189341738</c:v>
                </c:pt>
                <c:pt idx="198">
                  <c:v>47.065888400490564</c:v>
                </c:pt>
                <c:pt idx="199">
                  <c:v>47.303594907563749</c:v>
                </c:pt>
              </c:numCache>
            </c:numRef>
          </c:cat>
          <c:val>
            <c:numRef>
              <c:f>Hill_Saturation!$P$3:$P$202</c:f>
              <c:numCache>
                <c:formatCode>General</c:formatCode>
                <c:ptCount val="200"/>
                <c:pt idx="0">
                  <c:v>0</c:v>
                </c:pt>
                <c:pt idx="1">
                  <c:v>4.9691922168329291E-3</c:v>
                </c:pt>
                <c:pt idx="2">
                  <c:v>1.214731926226445E-2</c:v>
                </c:pt>
                <c:pt idx="3">
                  <c:v>2.0405776036275323E-2</c:v>
                </c:pt>
                <c:pt idx="4">
                  <c:v>2.9388189341718305E-2</c:v>
                </c:pt>
                <c:pt idx="5">
                  <c:v>3.889390989397018E-2</c:v>
                </c:pt>
                <c:pt idx="6">
                  <c:v>4.8789089932147651E-2</c:v>
                </c:pt>
                <c:pt idx="7">
                  <c:v>5.8976269283036981E-2</c:v>
                </c:pt>
                <c:pt idx="8">
                  <c:v>6.9380644965202173E-2</c:v>
                </c:pt>
                <c:pt idx="9">
                  <c:v>7.9942800692863955E-2</c:v>
                </c:pt>
                <c:pt idx="10">
                  <c:v>9.0614423280950485E-2</c:v>
                </c:pt>
                <c:pt idx="11">
                  <c:v>0.10135557546273578</c:v>
                </c:pt>
                <c:pt idx="12">
                  <c:v>0.11213285372262492</c:v>
                </c:pt>
                <c:pt idx="13">
                  <c:v>0.1229180843807197</c:v>
                </c:pt>
                <c:pt idx="14">
                  <c:v>0.13368736512518509</c:v>
                </c:pt>
                <c:pt idx="15">
                  <c:v>0.14442033828268702</c:v>
                </c:pt>
                <c:pt idx="16">
                  <c:v>0.15509962543563705</c:v>
                </c:pt>
                <c:pt idx="17">
                  <c:v>0.16571037799995059</c:v>
                </c:pt>
                <c:pt idx="18">
                  <c:v>0.17623991346121937</c:v>
                </c:pt>
                <c:pt idx="19">
                  <c:v>0.1866774164154637</c:v>
                </c:pt>
                <c:pt idx="20">
                  <c:v>0.19701368967466312</c:v>
                </c:pt>
                <c:pt idx="21">
                  <c:v>0.20724094476839355</c:v>
                </c:pt>
                <c:pt idx="22">
                  <c:v>0.21735262395335292</c:v>
                </c:pt>
                <c:pt idx="23">
                  <c:v>0.22734324778519122</c:v>
                </c:pt>
                <c:pt idx="24">
                  <c:v>0.23720828369253547</c:v>
                </c:pt>
                <c:pt idx="25">
                  <c:v>0.24694403199990902</c:v>
                </c:pt>
                <c:pt idx="26">
                  <c:v>0.25654752659057822</c:v>
                </c:pt>
                <c:pt idx="27">
                  <c:v>0.26601644795944079</c:v>
                </c:pt>
                <c:pt idx="28">
                  <c:v>0.27534904683222983</c:v>
                </c:pt>
                <c:pt idx="29">
                  <c:v>0.28454407685659711</c:v>
                </c:pt>
                <c:pt idx="30">
                  <c:v>0.29360073512834978</c:v>
                </c:pt>
                <c:pt idx="31">
                  <c:v>0.30251860952018089</c:v>
                </c:pt>
                <c:pt idx="32">
                  <c:v>0.31129763194363191</c:v>
                </c:pt>
                <c:pt idx="33">
                  <c:v>0.31993803680719607</c:v>
                </c:pt>
                <c:pt idx="34">
                  <c:v>0.32844032404140672</c:v>
                </c:pt>
                <c:pt idx="35">
                  <c:v>0.33680522615067787</c:v>
                </c:pt>
                <c:pt idx="36">
                  <c:v>0.3450336788255377</c:v>
                </c:pt>
                <c:pt idx="37">
                  <c:v>0.35312679471070985</c:v>
                </c:pt>
                <c:pt idx="38">
                  <c:v>0.3610858399766016</c:v>
                </c:pt>
                <c:pt idx="39">
                  <c:v>0.36891221338595226</c:v>
                </c:pt>
                <c:pt idx="40">
                  <c:v>0.37660742758509796</c:v>
                </c:pt>
                <c:pt idx="41">
                  <c:v>0.3841730923816476</c:v>
                </c:pt>
                <c:pt idx="42">
                  <c:v>0.39161089979825298</c:v>
                </c:pt>
                <c:pt idx="43">
                  <c:v>0.39892261071629065</c:v>
                </c:pt>
                <c:pt idx="44">
                  <c:v>0.40611004294426722</c:v>
                </c:pt>
                <c:pt idx="45">
                  <c:v>0.41317506056407954</c:v>
                </c:pt>
                <c:pt idx="46">
                  <c:v>0.42011956442430282</c:v>
                </c:pt>
                <c:pt idx="47">
                  <c:v>0.42694548366377505</c:v>
                </c:pt>
                <c:pt idx="48">
                  <c:v>0.43365476816116022</c:v>
                </c:pt>
                <c:pt idx="49">
                  <c:v>0.44024938181714013</c:v>
                </c:pt>
                <c:pt idx="50">
                  <c:v>0.44673129658559024</c:v>
                </c:pt>
                <c:pt idx="51">
                  <c:v>0.45310248717871487</c:v>
                </c:pt>
                <c:pt idx="52">
                  <c:v>0.4593649263787683</c:v>
                </c:pt>
                <c:pt idx="53">
                  <c:v>0.46552058089580944</c:v>
                </c:pt>
                <c:pt idx="54">
                  <c:v>0.47157140771702827</c:v>
                </c:pt>
                <c:pt idx="55">
                  <c:v>0.47751935089860492</c:v>
                </c:pt>
                <c:pt idx="56">
                  <c:v>0.48336633875593749</c:v>
                </c:pt>
                <c:pt idx="57">
                  <c:v>0.48911428141242047</c:v>
                </c:pt>
                <c:pt idx="58">
                  <c:v>0.49476506867087056</c:v>
                </c:pt>
                <c:pt idx="59">
                  <c:v>0.50032056817519477</c:v>
                </c:pt>
                <c:pt idx="60">
                  <c:v>0.50578262383305572</c:v>
                </c:pt>
                <c:pt idx="61">
                  <c:v>0.51115305447311898</c:v>
                </c:pt>
                <c:pt idx="62">
                  <c:v>0.516433652713021</c:v>
                </c:pt>
                <c:pt idx="63">
                  <c:v>0.52162618401649608</c:v>
                </c:pt>
                <c:pt idx="64">
                  <c:v>0.5267323859201728</c:v>
                </c:pt>
                <c:pt idx="65">
                  <c:v>0.53175396741242309</c:v>
                </c:pt>
                <c:pt idx="66">
                  <c:v>0.53669260844833178</c:v>
                </c:pt>
                <c:pt idx="67">
                  <c:v>0.54154995958638563</c:v>
                </c:pt>
                <c:pt idx="68">
                  <c:v>0.54632764173385118</c:v>
                </c:pt>
                <c:pt idx="69">
                  <c:v>0.55102724598906649</c:v>
                </c:pt>
                <c:pt idx="70">
                  <c:v>0.55565033356999149</c:v>
                </c:pt>
                <c:pt idx="71">
                  <c:v>0.56019843581938589</c:v>
                </c:pt>
                <c:pt idx="72">
                  <c:v>0.5646730542779056</c:v>
                </c:pt>
                <c:pt idx="73">
                  <c:v>0.56907566081724748</c:v>
                </c:pt>
                <c:pt idx="74">
                  <c:v>0.57340769782622658</c:v>
                </c:pt>
                <c:pt idx="75">
                  <c:v>0.57767057844335878</c:v>
                </c:pt>
                <c:pt idx="76">
                  <c:v>0.58186568683014472</c:v>
                </c:pt>
                <c:pt idx="77">
                  <c:v>0.5859943784798114</c:v>
                </c:pt>
                <c:pt idx="78">
                  <c:v>0.59005798055678482</c:v>
                </c:pt>
                <c:pt idx="79">
                  <c:v>0.59405779226262523</c:v>
                </c:pt>
                <c:pt idx="80">
                  <c:v>0.59799508522458211</c:v>
                </c:pt>
                <c:pt idx="81">
                  <c:v>0.60187110390330478</c:v>
                </c:pt>
                <c:pt idx="82">
                  <c:v>0.60568706601659006</c:v>
                </c:pt>
                <c:pt idx="83">
                  <c:v>0.6094441629763665</c:v>
                </c:pt>
                <c:pt idx="84">
                  <c:v>0.61314356033639517</c:v>
                </c:pt>
                <c:pt idx="85">
                  <c:v>0.61678639824842763</c:v>
                </c:pt>
                <c:pt idx="86">
                  <c:v>0.6203737919247958</c:v>
                </c:pt>
                <c:pt idx="87">
                  <c:v>0.62390683210562203</c:v>
                </c:pt>
                <c:pt idx="88">
                  <c:v>0.62738658552902815</c:v>
                </c:pt>
                <c:pt idx="89">
                  <c:v>0.63081409540290034</c:v>
                </c:pt>
                <c:pt idx="90">
                  <c:v>0.63419038187692145</c:v>
                </c:pt>
                <c:pt idx="91">
                  <c:v>0.63751644251373085</c:v>
                </c:pt>
                <c:pt idx="92">
                  <c:v>0.64079325275819887</c:v>
                </c:pt>
                <c:pt idx="93">
                  <c:v>0.64402176640391884</c:v>
                </c:pt>
                <c:pt idx="94">
                  <c:v>0.64720291605613423</c:v>
                </c:pt>
                <c:pt idx="95">
                  <c:v>0.65033761359040598</c:v>
                </c:pt>
                <c:pt idx="96">
                  <c:v>0.65342675060641953</c:v>
                </c:pt>
                <c:pt idx="97">
                  <c:v>0.65647119887640681</c:v>
                </c:pt>
                <c:pt idx="98">
                  <c:v>0.65947181078772965</c:v>
                </c:pt>
                <c:pt idx="99">
                  <c:v>0.66242941977923753</c:v>
                </c:pt>
                <c:pt idx="100">
                  <c:v>0.66534484077107159</c:v>
                </c:pt>
                <c:pt idx="101">
                  <c:v>0.66821887058763596</c:v>
                </c:pt>
                <c:pt idx="102">
                  <c:v>0.67105228837350528</c:v>
                </c:pt>
                <c:pt idx="103">
                  <c:v>0.67384585600208602</c:v>
                </c:pt>
                <c:pt idx="104">
                  <c:v>0.67660031847687796</c:v>
                </c:pt>
                <c:pt idx="105">
                  <c:v>0.67931640432522422</c:v>
                </c:pt>
                <c:pt idx="106">
                  <c:v>0.68199482598446548</c:v>
                </c:pt>
                <c:pt idx="107">
                  <c:v>0.68463628018044198</c:v>
                </c:pt>
                <c:pt idx="108">
                  <c:v>0.68724144829831291</c:v>
                </c:pt>
                <c:pt idx="109">
                  <c:v>0.68981099674568236</c:v>
                </c:pt>
                <c:pt idx="110">
                  <c:v>0.69234557730804391</c:v>
                </c:pt>
                <c:pt idx="111">
                  <c:v>0.69484582749656953</c:v>
                </c:pt>
                <c:pt idx="112">
                  <c:v>0.69731237088828657</c:v>
                </c:pt>
                <c:pt idx="113">
                  <c:v>0.69974581745869968</c:v>
                </c:pt>
                <c:pt idx="114">
                  <c:v>0.7021467639069261</c:v>
                </c:pt>
                <c:pt idx="115">
                  <c:v>0.70451579397341912</c:v>
                </c:pt>
                <c:pt idx="116">
                  <c:v>0.70685347875037607</c:v>
                </c:pt>
                <c:pt idx="117">
                  <c:v>0.7091603769849173</c:v>
                </c:pt>
                <c:pt idx="118">
                  <c:v>0.71143703537514313</c:v>
                </c:pt>
                <c:pt idx="119">
                  <c:v>0.71368398885917805</c:v>
                </c:pt>
                <c:pt idx="120">
                  <c:v>0.71590176089731183</c:v>
                </c:pt>
                <c:pt idx="121">
                  <c:v>0.71809086374735598</c:v>
                </c:pt>
                <c:pt idx="122">
                  <c:v>0.72025179873333667</c:v>
                </c:pt>
                <c:pt idx="123">
                  <c:v>0.72238505650764673</c:v>
                </c:pt>
                <c:pt idx="124">
                  <c:v>0.72449111730677895</c:v>
                </c:pt>
                <c:pt idx="125">
                  <c:v>0.72657045120077335</c:v>
                </c:pt>
                <c:pt idx="126">
                  <c:v>0.72862351833649786</c:v>
                </c:pt>
                <c:pt idx="127">
                  <c:v>0.73065076917489791</c:v>
                </c:pt>
                <c:pt idx="128">
                  <c:v>0.73265264472233893</c:v>
                </c:pt>
                <c:pt idx="129">
                  <c:v>0.7346295767561708</c:v>
                </c:pt>
                <c:pt idx="130">
                  <c:v>0.73658198804464414</c:v>
                </c:pt>
                <c:pt idx="131">
                  <c:v>0.73851029256130118</c:v>
                </c:pt>
                <c:pt idx="132">
                  <c:v>0.74041489569397345</c:v>
                </c:pt>
                <c:pt idx="133">
                  <c:v>0.74229619444850592</c:v>
                </c:pt>
                <c:pt idx="134">
                  <c:v>0.74415457764733417</c:v>
                </c:pt>
                <c:pt idx="135">
                  <c:v>0.74599042612303745</c:v>
                </c:pt>
                <c:pt idx="136">
                  <c:v>0.74780411290698545</c:v>
                </c:pt>
                <c:pt idx="137">
                  <c:v>0.74959600341320209</c:v>
                </c:pt>
                <c:pt idx="138">
                  <c:v>0.75136645561755833</c:v>
                </c:pt>
                <c:pt idx="139">
                  <c:v>0.75311582023241552</c:v>
                </c:pt>
                <c:pt idx="140">
                  <c:v>0.75484444087682578</c:v>
                </c:pt>
                <c:pt idx="141">
                  <c:v>0.7565526542424067</c:v>
                </c:pt>
                <c:pt idx="142">
                  <c:v>0.7582407902549958</c:v>
                </c:pt>
                <c:pt idx="143">
                  <c:v>0.75990917223219345</c:v>
                </c:pt>
                <c:pt idx="144">
                  <c:v>0.76155811703689869</c:v>
                </c:pt>
                <c:pt idx="145">
                  <c:v>0.76318793522694017</c:v>
                </c:pt>
                <c:pt idx="146">
                  <c:v>0.76479893120090547</c:v>
                </c:pt>
                <c:pt idx="147">
                  <c:v>0.7663914033402629</c:v>
                </c:pt>
                <c:pt idx="148">
                  <c:v>0.76796564414787549</c:v>
                </c:pt>
                <c:pt idx="149">
                  <c:v>0.76952194038299937</c:v>
                </c:pt>
                <c:pt idx="150">
                  <c:v>0.77106057319286148</c:v>
                </c:pt>
                <c:pt idx="151">
                  <c:v>0.77258181824090022</c:v>
                </c:pt>
                <c:pt idx="152">
                  <c:v>0.77408594583176293</c:v>
                </c:pt>
                <c:pt idx="153">
                  <c:v>0.77557322103314363</c:v>
                </c:pt>
                <c:pt idx="154">
                  <c:v>0.77704390379454269</c:v>
                </c:pt>
                <c:pt idx="155">
                  <c:v>0.778498249063031</c:v>
                </c:pt>
                <c:pt idx="156">
                  <c:v>0.7799365068961005</c:v>
                </c:pt>
                <c:pt idx="157">
                  <c:v>0.78135892257167217</c:v>
                </c:pt>
                <c:pt idx="158">
                  <c:v>0.78276573669534555</c:v>
                </c:pt>
                <c:pt idx="159">
                  <c:v>0.78415718530495437</c:v>
                </c:pt>
                <c:pt idx="160">
                  <c:v>0.78553349997250588</c:v>
                </c:pt>
                <c:pt idx="161">
                  <c:v>0.78689490790357164</c:v>
                </c:pt>
                <c:pt idx="162">
                  <c:v>0.78824163203419784</c:v>
                </c:pt>
                <c:pt idx="163">
                  <c:v>0.78957389112539977</c:v>
                </c:pt>
                <c:pt idx="164">
                  <c:v>0.79089189985530872</c:v>
                </c:pt>
                <c:pt idx="165">
                  <c:v>0.79219586890902804</c:v>
                </c:pt>
                <c:pt idx="166">
                  <c:v>0.7934860050662661</c:v>
                </c:pt>
                <c:pt idx="167">
                  <c:v>0.79476251128679931</c:v>
                </c:pt>
                <c:pt idx="168">
                  <c:v>0.79602558679382773</c:v>
                </c:pt>
                <c:pt idx="169">
                  <c:v>0.79727542715527644</c:v>
                </c:pt>
                <c:pt idx="170">
                  <c:v>0.7985122243630981</c:v>
                </c:pt>
                <c:pt idx="171">
                  <c:v>0.79973616691063099</c:v>
                </c:pt>
                <c:pt idx="172">
                  <c:v>0.80094743986806316</c:v>
                </c:pt>
                <c:pt idx="173">
                  <c:v>0.80214622495605303</c:v>
                </c:pt>
                <c:pt idx="174">
                  <c:v>0.80333270061755502</c:v>
                </c:pt>
                <c:pt idx="175">
                  <c:v>0.80450704208789992</c:v>
                </c:pt>
                <c:pt idx="176">
                  <c:v>0.80566942146317388</c:v>
                </c:pt>
                <c:pt idx="177">
                  <c:v>0.80682000776694129</c:v>
                </c:pt>
                <c:pt idx="178">
                  <c:v>0.80795896701535774</c:v>
                </c:pt>
                <c:pt idx="179">
                  <c:v>0.80908646228071168</c:v>
                </c:pt>
                <c:pt idx="180">
                  <c:v>0.81020265375344058</c:v>
                </c:pt>
                <c:pt idx="181">
                  <c:v>0.81130769880265796</c:v>
                </c:pt>
                <c:pt idx="182">
                  <c:v>0.81240175203523257</c:v>
                </c:pt>
                <c:pt idx="183">
                  <c:v>0.81348496535345793</c:v>
                </c:pt>
                <c:pt idx="184">
                  <c:v>0.8145574880113482</c:v>
                </c:pt>
                <c:pt idx="185">
                  <c:v>0.81561946666959573</c:v>
                </c:pt>
                <c:pt idx="186">
                  <c:v>0.81667104544922831</c:v>
                </c:pt>
                <c:pt idx="187">
                  <c:v>0.81771236598399666</c:v>
                </c:pt>
                <c:pt idx="188">
                  <c:v>0.81874356747152677</c:v>
                </c:pt>
                <c:pt idx="189">
                  <c:v>0.81976478672327036</c:v>
                </c:pt>
                <c:pt idx="190">
                  <c:v>0.82077615821328109</c:v>
                </c:pt>
                <c:pt idx="191">
                  <c:v>0.82177781412585305</c:v>
                </c:pt>
                <c:pt idx="192">
                  <c:v>0.82276988440204357</c:v>
                </c:pt>
                <c:pt idx="193">
                  <c:v>0.82375249678511497</c:v>
                </c:pt>
                <c:pt idx="194">
                  <c:v>0.82472577686492099</c:v>
                </c:pt>
                <c:pt idx="195">
                  <c:v>0.82568984812126456</c:v>
                </c:pt>
                <c:pt idx="196">
                  <c:v>0.82664483196625493</c:v>
                </c:pt>
                <c:pt idx="197">
                  <c:v>0.8275908477856877</c:v>
                </c:pt>
                <c:pt idx="198">
                  <c:v>0.82852801297947443</c:v>
                </c:pt>
                <c:pt idx="199">
                  <c:v>0.82945644300114629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0-4555-9CD4-D2CE4EDAE01E}"/>
            </c:ext>
          </c:extLst>
        </c:ser>
        <c:ser>
          <c:idx val="1"/>
          <c:order val="1"/>
          <c:tx>
            <c:strRef>
              <c:f>Hill_Saturation!$Q$2</c:f>
              <c:strCache>
                <c:ptCount val="1"/>
                <c:pt idx="0">
                  <c:v>tv_spend_lakhs_sat_60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Hill_Saturation!$D$3:$D$202</c:f>
              <c:numCache>
                <c:formatCode>General</c:formatCode>
                <c:ptCount val="200"/>
                <c:pt idx="0">
                  <c:v>0</c:v>
                </c:pt>
                <c:pt idx="1">
                  <c:v>0.23770650707318502</c:v>
                </c:pt>
                <c:pt idx="2">
                  <c:v>0.47541301414637005</c:v>
                </c:pt>
                <c:pt idx="3">
                  <c:v>0.71311952121955513</c:v>
                </c:pt>
                <c:pt idx="4">
                  <c:v>0.9508260282927401</c:v>
                </c:pt>
                <c:pt idx="5">
                  <c:v>1.1885325353659251</c:v>
                </c:pt>
                <c:pt idx="6">
                  <c:v>1.42623904243911</c:v>
                </c:pt>
                <c:pt idx="7">
                  <c:v>1.663945549512295</c:v>
                </c:pt>
                <c:pt idx="8">
                  <c:v>1.90165205658548</c:v>
                </c:pt>
                <c:pt idx="9">
                  <c:v>2.1393585636586652</c:v>
                </c:pt>
                <c:pt idx="10">
                  <c:v>2.3770650707318501</c:v>
                </c:pt>
                <c:pt idx="11">
                  <c:v>2.6147715778050351</c:v>
                </c:pt>
                <c:pt idx="12">
                  <c:v>2.8524780848782201</c:v>
                </c:pt>
                <c:pt idx="13">
                  <c:v>3.090184591951405</c:v>
                </c:pt>
                <c:pt idx="14">
                  <c:v>3.32789109902459</c:v>
                </c:pt>
                <c:pt idx="15">
                  <c:v>3.565597606097775</c:v>
                </c:pt>
                <c:pt idx="16">
                  <c:v>3.80330411317096</c:v>
                </c:pt>
                <c:pt idx="17">
                  <c:v>4.0410106202441449</c:v>
                </c:pt>
                <c:pt idx="18">
                  <c:v>4.2787171273173303</c:v>
                </c:pt>
                <c:pt idx="19">
                  <c:v>4.5164236343905158</c:v>
                </c:pt>
                <c:pt idx="20">
                  <c:v>4.7541301414637012</c:v>
                </c:pt>
                <c:pt idx="21">
                  <c:v>4.9918366485368866</c:v>
                </c:pt>
                <c:pt idx="22">
                  <c:v>5.229543155610072</c:v>
                </c:pt>
                <c:pt idx="23">
                  <c:v>5.4672496626832574</c:v>
                </c:pt>
                <c:pt idx="24">
                  <c:v>5.7049561697564428</c:v>
                </c:pt>
                <c:pt idx="25">
                  <c:v>5.9426626768296282</c:v>
                </c:pt>
                <c:pt idx="26">
                  <c:v>6.1803691839028136</c:v>
                </c:pt>
                <c:pt idx="27">
                  <c:v>6.4180756909759991</c:v>
                </c:pt>
                <c:pt idx="28">
                  <c:v>6.6557821980491845</c:v>
                </c:pt>
                <c:pt idx="29">
                  <c:v>6.8934887051223699</c:v>
                </c:pt>
                <c:pt idx="30">
                  <c:v>7.1311952121955553</c:v>
                </c:pt>
                <c:pt idx="31">
                  <c:v>7.3689017192687407</c:v>
                </c:pt>
                <c:pt idx="32">
                  <c:v>7.6066082263419261</c:v>
                </c:pt>
                <c:pt idx="33">
                  <c:v>7.8443147334151115</c:v>
                </c:pt>
                <c:pt idx="34">
                  <c:v>8.082021240488297</c:v>
                </c:pt>
                <c:pt idx="35">
                  <c:v>8.3197277475614815</c:v>
                </c:pt>
                <c:pt idx="36">
                  <c:v>8.557434254634666</c:v>
                </c:pt>
                <c:pt idx="37">
                  <c:v>8.7951407617078505</c:v>
                </c:pt>
                <c:pt idx="38">
                  <c:v>9.0328472687810351</c:v>
                </c:pt>
                <c:pt idx="39">
                  <c:v>9.2705537758542196</c:v>
                </c:pt>
                <c:pt idx="40">
                  <c:v>9.5082602829274041</c:v>
                </c:pt>
                <c:pt idx="41">
                  <c:v>9.7459667900005886</c:v>
                </c:pt>
                <c:pt idx="42">
                  <c:v>9.9836732970737732</c:v>
                </c:pt>
                <c:pt idx="43">
                  <c:v>10.221379804146958</c:v>
                </c:pt>
                <c:pt idx="44">
                  <c:v>10.459086311220142</c:v>
                </c:pt>
                <c:pt idx="45">
                  <c:v>10.696792818293327</c:v>
                </c:pt>
                <c:pt idx="46">
                  <c:v>10.934499325366511</c:v>
                </c:pt>
                <c:pt idx="47">
                  <c:v>11.172205832439696</c:v>
                </c:pt>
                <c:pt idx="48">
                  <c:v>11.40991233951288</c:v>
                </c:pt>
                <c:pt idx="49">
                  <c:v>11.647618846586065</c:v>
                </c:pt>
                <c:pt idx="50">
                  <c:v>11.885325353659249</c:v>
                </c:pt>
                <c:pt idx="51">
                  <c:v>12.123031860732434</c:v>
                </c:pt>
                <c:pt idx="52">
                  <c:v>12.360738367805618</c:v>
                </c:pt>
                <c:pt idx="53">
                  <c:v>12.598444874878803</c:v>
                </c:pt>
                <c:pt idx="54">
                  <c:v>12.836151381951987</c:v>
                </c:pt>
                <c:pt idx="55">
                  <c:v>13.073857889025172</c:v>
                </c:pt>
                <c:pt idx="56">
                  <c:v>13.311564396098357</c:v>
                </c:pt>
                <c:pt idx="57">
                  <c:v>13.549270903171541</c:v>
                </c:pt>
                <c:pt idx="58">
                  <c:v>13.786977410244726</c:v>
                </c:pt>
                <c:pt idx="59">
                  <c:v>14.02468391731791</c:v>
                </c:pt>
                <c:pt idx="60">
                  <c:v>14.262390424391095</c:v>
                </c:pt>
                <c:pt idx="61">
                  <c:v>14.500096931464279</c:v>
                </c:pt>
                <c:pt idx="62">
                  <c:v>14.737803438537464</c:v>
                </c:pt>
                <c:pt idx="63">
                  <c:v>14.975509945610648</c:v>
                </c:pt>
                <c:pt idx="64">
                  <c:v>15.213216452683833</c:v>
                </c:pt>
                <c:pt idx="65">
                  <c:v>15.450922959757017</c:v>
                </c:pt>
                <c:pt idx="66">
                  <c:v>15.688629466830202</c:v>
                </c:pt>
                <c:pt idx="67">
                  <c:v>15.926335973903386</c:v>
                </c:pt>
                <c:pt idx="68">
                  <c:v>16.164042480976573</c:v>
                </c:pt>
                <c:pt idx="69">
                  <c:v>16.401748988049757</c:v>
                </c:pt>
                <c:pt idx="70">
                  <c:v>16.639455495122942</c:v>
                </c:pt>
                <c:pt idx="71">
                  <c:v>16.877162002196126</c:v>
                </c:pt>
                <c:pt idx="72">
                  <c:v>17.114868509269311</c:v>
                </c:pt>
                <c:pt idx="73">
                  <c:v>17.352575016342495</c:v>
                </c:pt>
                <c:pt idx="74">
                  <c:v>17.59028152341568</c:v>
                </c:pt>
                <c:pt idx="75">
                  <c:v>17.827988030488864</c:v>
                </c:pt>
                <c:pt idx="76">
                  <c:v>18.065694537562049</c:v>
                </c:pt>
                <c:pt idx="77">
                  <c:v>18.303401044635233</c:v>
                </c:pt>
                <c:pt idx="78">
                  <c:v>18.541107551708418</c:v>
                </c:pt>
                <c:pt idx="79">
                  <c:v>18.778814058781602</c:v>
                </c:pt>
                <c:pt idx="80">
                  <c:v>19.016520565854787</c:v>
                </c:pt>
                <c:pt idx="81">
                  <c:v>19.254227072927971</c:v>
                </c:pt>
                <c:pt idx="82">
                  <c:v>19.491933580001156</c:v>
                </c:pt>
                <c:pt idx="83">
                  <c:v>19.72964008707434</c:v>
                </c:pt>
                <c:pt idx="84">
                  <c:v>19.967346594147525</c:v>
                </c:pt>
                <c:pt idx="85">
                  <c:v>20.20505310122071</c:v>
                </c:pt>
                <c:pt idx="86">
                  <c:v>20.442759608293894</c:v>
                </c:pt>
                <c:pt idx="87">
                  <c:v>20.680466115367079</c:v>
                </c:pt>
                <c:pt idx="88">
                  <c:v>20.918172622440263</c:v>
                </c:pt>
                <c:pt idx="89">
                  <c:v>21.155879129513448</c:v>
                </c:pt>
                <c:pt idx="90">
                  <c:v>21.393585636586632</c:v>
                </c:pt>
                <c:pt idx="91">
                  <c:v>21.631292143659817</c:v>
                </c:pt>
                <c:pt idx="92">
                  <c:v>21.868998650733001</c:v>
                </c:pt>
                <c:pt idx="93">
                  <c:v>22.106705157806186</c:v>
                </c:pt>
                <c:pt idx="94">
                  <c:v>22.34441166487937</c:v>
                </c:pt>
                <c:pt idx="95">
                  <c:v>22.582118171952555</c:v>
                </c:pt>
                <c:pt idx="96">
                  <c:v>22.819824679025739</c:v>
                </c:pt>
                <c:pt idx="97">
                  <c:v>23.057531186098924</c:v>
                </c:pt>
                <c:pt idx="98">
                  <c:v>23.295237693172108</c:v>
                </c:pt>
                <c:pt idx="99">
                  <c:v>23.532944200245293</c:v>
                </c:pt>
                <c:pt idx="100">
                  <c:v>23.770650707318477</c:v>
                </c:pt>
                <c:pt idx="101">
                  <c:v>24.008357214391662</c:v>
                </c:pt>
                <c:pt idx="102">
                  <c:v>24.246063721464846</c:v>
                </c:pt>
                <c:pt idx="103">
                  <c:v>24.483770228538031</c:v>
                </c:pt>
                <c:pt idx="104">
                  <c:v>24.721476735611216</c:v>
                </c:pt>
                <c:pt idx="105">
                  <c:v>24.9591832426844</c:v>
                </c:pt>
                <c:pt idx="106">
                  <c:v>25.196889749757585</c:v>
                </c:pt>
                <c:pt idx="107">
                  <c:v>25.434596256830769</c:v>
                </c:pt>
                <c:pt idx="108">
                  <c:v>25.672302763903954</c:v>
                </c:pt>
                <c:pt idx="109">
                  <c:v>25.910009270977138</c:v>
                </c:pt>
                <c:pt idx="110">
                  <c:v>26.147715778050323</c:v>
                </c:pt>
                <c:pt idx="111">
                  <c:v>26.385422285123507</c:v>
                </c:pt>
                <c:pt idx="112">
                  <c:v>26.623128792196692</c:v>
                </c:pt>
                <c:pt idx="113">
                  <c:v>26.860835299269876</c:v>
                </c:pt>
                <c:pt idx="114">
                  <c:v>27.098541806343061</c:v>
                </c:pt>
                <c:pt idx="115">
                  <c:v>27.336248313416245</c:v>
                </c:pt>
                <c:pt idx="116">
                  <c:v>27.57395482048943</c:v>
                </c:pt>
                <c:pt idx="117">
                  <c:v>27.811661327562614</c:v>
                </c:pt>
                <c:pt idx="118">
                  <c:v>28.049367834635799</c:v>
                </c:pt>
                <c:pt idx="119">
                  <c:v>28.287074341708983</c:v>
                </c:pt>
                <c:pt idx="120">
                  <c:v>28.524780848782168</c:v>
                </c:pt>
                <c:pt idx="121">
                  <c:v>28.762487355855352</c:v>
                </c:pt>
                <c:pt idx="122">
                  <c:v>29.000193862928537</c:v>
                </c:pt>
                <c:pt idx="123">
                  <c:v>29.237900370001721</c:v>
                </c:pt>
                <c:pt idx="124">
                  <c:v>29.475606877074906</c:v>
                </c:pt>
                <c:pt idx="125">
                  <c:v>29.713313384148091</c:v>
                </c:pt>
                <c:pt idx="126">
                  <c:v>29.951019891221275</c:v>
                </c:pt>
                <c:pt idx="127">
                  <c:v>30.18872639829446</c:v>
                </c:pt>
                <c:pt idx="128">
                  <c:v>30.426432905367644</c:v>
                </c:pt>
                <c:pt idx="129">
                  <c:v>30.664139412440829</c:v>
                </c:pt>
                <c:pt idx="130">
                  <c:v>30.901845919514013</c:v>
                </c:pt>
                <c:pt idx="131">
                  <c:v>31.139552426587198</c:v>
                </c:pt>
                <c:pt idx="132">
                  <c:v>31.377258933660382</c:v>
                </c:pt>
                <c:pt idx="133">
                  <c:v>31.614965440733567</c:v>
                </c:pt>
                <c:pt idx="134">
                  <c:v>31.852671947806751</c:v>
                </c:pt>
                <c:pt idx="135">
                  <c:v>32.090378454879939</c:v>
                </c:pt>
                <c:pt idx="136">
                  <c:v>32.328084961953124</c:v>
                </c:pt>
                <c:pt idx="137">
                  <c:v>32.565791469026308</c:v>
                </c:pt>
                <c:pt idx="138">
                  <c:v>32.803497976099493</c:v>
                </c:pt>
                <c:pt idx="139">
                  <c:v>33.041204483172677</c:v>
                </c:pt>
                <c:pt idx="140">
                  <c:v>33.278910990245862</c:v>
                </c:pt>
                <c:pt idx="141">
                  <c:v>33.516617497319046</c:v>
                </c:pt>
                <c:pt idx="142">
                  <c:v>33.754324004392231</c:v>
                </c:pt>
                <c:pt idx="143">
                  <c:v>33.992030511465416</c:v>
                </c:pt>
                <c:pt idx="144">
                  <c:v>34.2297370185386</c:v>
                </c:pt>
                <c:pt idx="145">
                  <c:v>34.467443525611785</c:v>
                </c:pt>
                <c:pt idx="146">
                  <c:v>34.705150032684969</c:v>
                </c:pt>
                <c:pt idx="147">
                  <c:v>34.942856539758154</c:v>
                </c:pt>
                <c:pt idx="148">
                  <c:v>35.180563046831338</c:v>
                </c:pt>
                <c:pt idx="149">
                  <c:v>35.418269553904523</c:v>
                </c:pt>
                <c:pt idx="150">
                  <c:v>35.655976060977707</c:v>
                </c:pt>
                <c:pt idx="151">
                  <c:v>35.893682568050892</c:v>
                </c:pt>
                <c:pt idx="152">
                  <c:v>36.131389075124076</c:v>
                </c:pt>
                <c:pt idx="153">
                  <c:v>36.369095582197261</c:v>
                </c:pt>
                <c:pt idx="154">
                  <c:v>36.606802089270445</c:v>
                </c:pt>
                <c:pt idx="155">
                  <c:v>36.84450859634363</c:v>
                </c:pt>
                <c:pt idx="156">
                  <c:v>37.082215103416814</c:v>
                </c:pt>
                <c:pt idx="157">
                  <c:v>37.319921610489999</c:v>
                </c:pt>
                <c:pt idx="158">
                  <c:v>37.557628117563183</c:v>
                </c:pt>
                <c:pt idx="159">
                  <c:v>37.795334624636368</c:v>
                </c:pt>
                <c:pt idx="160">
                  <c:v>38.033041131709552</c:v>
                </c:pt>
                <c:pt idx="161">
                  <c:v>38.270747638782737</c:v>
                </c:pt>
                <c:pt idx="162">
                  <c:v>38.508454145855922</c:v>
                </c:pt>
                <c:pt idx="163">
                  <c:v>38.746160652929106</c:v>
                </c:pt>
                <c:pt idx="164">
                  <c:v>38.983867160002291</c:v>
                </c:pt>
                <c:pt idx="165">
                  <c:v>39.221573667075475</c:v>
                </c:pt>
                <c:pt idx="166">
                  <c:v>39.45928017414866</c:v>
                </c:pt>
                <c:pt idx="167">
                  <c:v>39.696986681221844</c:v>
                </c:pt>
                <c:pt idx="168">
                  <c:v>39.934693188295029</c:v>
                </c:pt>
                <c:pt idx="169">
                  <c:v>40.172399695368213</c:v>
                </c:pt>
                <c:pt idx="170">
                  <c:v>40.410106202441398</c:v>
                </c:pt>
                <c:pt idx="171">
                  <c:v>40.647812709514582</c:v>
                </c:pt>
                <c:pt idx="172">
                  <c:v>40.885519216587767</c:v>
                </c:pt>
                <c:pt idx="173">
                  <c:v>41.123225723660951</c:v>
                </c:pt>
                <c:pt idx="174">
                  <c:v>41.360932230734136</c:v>
                </c:pt>
                <c:pt idx="175">
                  <c:v>41.59863873780732</c:v>
                </c:pt>
                <c:pt idx="176">
                  <c:v>41.836345244880505</c:v>
                </c:pt>
                <c:pt idx="177">
                  <c:v>42.074051751953689</c:v>
                </c:pt>
                <c:pt idx="178">
                  <c:v>42.311758259026874</c:v>
                </c:pt>
                <c:pt idx="179">
                  <c:v>42.549464766100058</c:v>
                </c:pt>
                <c:pt idx="180">
                  <c:v>42.787171273173243</c:v>
                </c:pt>
                <c:pt idx="181">
                  <c:v>43.024877780246428</c:v>
                </c:pt>
                <c:pt idx="182">
                  <c:v>43.262584287319612</c:v>
                </c:pt>
                <c:pt idx="183">
                  <c:v>43.500290794392797</c:v>
                </c:pt>
                <c:pt idx="184">
                  <c:v>43.737997301465981</c:v>
                </c:pt>
                <c:pt idx="185">
                  <c:v>43.975703808539166</c:v>
                </c:pt>
                <c:pt idx="186">
                  <c:v>44.21341031561235</c:v>
                </c:pt>
                <c:pt idx="187">
                  <c:v>44.451116822685535</c:v>
                </c:pt>
                <c:pt idx="188">
                  <c:v>44.688823329758719</c:v>
                </c:pt>
                <c:pt idx="189">
                  <c:v>44.926529836831904</c:v>
                </c:pt>
                <c:pt idx="190">
                  <c:v>45.164236343905088</c:v>
                </c:pt>
                <c:pt idx="191">
                  <c:v>45.401942850978273</c:v>
                </c:pt>
                <c:pt idx="192">
                  <c:v>45.639649358051457</c:v>
                </c:pt>
                <c:pt idx="193">
                  <c:v>45.877355865124642</c:v>
                </c:pt>
                <c:pt idx="194">
                  <c:v>46.115062372197826</c:v>
                </c:pt>
                <c:pt idx="195">
                  <c:v>46.352768879271011</c:v>
                </c:pt>
                <c:pt idx="196">
                  <c:v>46.590475386344195</c:v>
                </c:pt>
                <c:pt idx="197">
                  <c:v>46.82818189341738</c:v>
                </c:pt>
                <c:pt idx="198">
                  <c:v>47.065888400490564</c:v>
                </c:pt>
                <c:pt idx="199">
                  <c:v>47.303594907563749</c:v>
                </c:pt>
              </c:numCache>
            </c:numRef>
          </c:cat>
          <c:val>
            <c:numRef>
              <c:f>Hill_Saturation!$Q$3:$Q$202</c:f>
              <c:numCache>
                <c:formatCode>General</c:formatCode>
                <c:ptCount val="200"/>
                <c:pt idx="0">
                  <c:v>0</c:v>
                </c:pt>
                <c:pt idx="1">
                  <c:v>4.6484683058372949E-3</c:v>
                </c:pt>
                <c:pt idx="2">
                  <c:v>1.1368594648305863E-2</c:v>
                </c:pt>
                <c:pt idx="3">
                  <c:v>1.9107869499283434E-2</c:v>
                </c:pt>
                <c:pt idx="4">
                  <c:v>2.7535016806819378E-2</c:v>
                </c:pt>
                <c:pt idx="5">
                  <c:v>3.6463840503928993E-2</c:v>
                </c:pt>
                <c:pt idx="6">
                  <c:v>4.5770217662463739E-2</c:v>
                </c:pt>
                <c:pt idx="7">
                  <c:v>5.5363743455811971E-2</c:v>
                </c:pt>
                <c:pt idx="8">
                  <c:v>6.5174950414606928E-2</c:v>
                </c:pt>
                <c:pt idx="9">
                  <c:v>7.5148553828324624E-2</c:v>
                </c:pt>
                <c:pt idx="10">
                  <c:v>8.5239481102510117E-2</c:v>
                </c:pt>
                <c:pt idx="11">
                  <c:v>9.5410350237607258E-2</c:v>
                </c:pt>
                <c:pt idx="12">
                  <c:v>0.10562977123382178</c:v>
                </c:pt>
                <c:pt idx="13">
                  <c:v>0.11587114718814574</c:v>
                </c:pt>
                <c:pt idx="14">
                  <c:v>0.12611179548448948</c:v>
                </c:pt>
                <c:pt idx="15">
                  <c:v>0.13633228324302182</c:v>
                </c:pt>
                <c:pt idx="16">
                  <c:v>0.14651591157968338</c:v>
                </c:pt>
                <c:pt idx="17">
                  <c:v>0.15664830652860681</c:v>
                </c:pt>
                <c:pt idx="18">
                  <c:v>0.16671708852992442</c:v>
                </c:pt>
                <c:pt idx="19">
                  <c:v>0.17671160118045684</c:v>
                </c:pt>
                <c:pt idx="20">
                  <c:v>0.18662268563187759</c:v>
                </c:pt>
                <c:pt idx="21">
                  <c:v>0.19644249080435403</c:v>
                </c:pt>
                <c:pt idx="22">
                  <c:v>0.2061643121647479</c:v>
                </c:pt>
                <c:pt idx="23">
                  <c:v>0.21578245361938306</c:v>
                </c:pt>
                <c:pt idx="24">
                  <c:v>0.22529210835375918</c:v>
                </c:pt>
                <c:pt idx="25">
                  <c:v>0.23468925538174873</c:v>
                </c:pt>
                <c:pt idx="26">
                  <c:v>0.24397056925302249</c:v>
                </c:pt>
                <c:pt idx="27">
                  <c:v>0.25313334088164308</c:v>
                </c:pt>
                <c:pt idx="28">
                  <c:v>0.26217540784967691</c:v>
                </c:pt>
                <c:pt idx="29">
                  <c:v>0.27109509284087008</c:v>
                </c:pt>
                <c:pt idx="30">
                  <c:v>0.27989114909443435</c:v>
                </c:pt>
                <c:pt idx="31">
                  <c:v>0.28856271195448774</c:v>
                </c:pt>
                <c:pt idx="32">
                  <c:v>0.29710925573873387</c:v>
                </c:pt>
                <c:pt idx="33">
                  <c:v>0.3055305552693155</c:v>
                </c:pt>
                <c:pt idx="34">
                  <c:v>0.31382665150592476</c:v>
                </c:pt>
                <c:pt idx="35">
                  <c:v>0.32199782080102718</c:v>
                </c:pt>
                <c:pt idx="36">
                  <c:v>0.33004454736312611</c:v>
                </c:pt>
                <c:pt idx="37">
                  <c:v>0.33796749856911107</c:v>
                </c:pt>
                <c:pt idx="38">
                  <c:v>0.34576750281307284</c:v>
                </c:pt>
                <c:pt idx="39">
                  <c:v>0.35344552961816555</c:v>
                </c:pt>
                <c:pt idx="40">
                  <c:v>0.36100267177146844</c:v>
                </c:pt>
                <c:pt idx="41">
                  <c:v>0.36844012927036557</c:v>
                </c:pt>
                <c:pt idx="42">
                  <c:v>0.37575919489355464</c:v>
                </c:pt>
                <c:pt idx="43">
                  <c:v>0.38296124123105357</c:v>
                </c:pt>
                <c:pt idx="44">
                  <c:v>0.39004770902604485</c:v>
                </c:pt>
                <c:pt idx="45">
                  <c:v>0.39702009669750016</c:v>
                </c:pt>
                <c:pt idx="46">
                  <c:v>0.40387995092663237</c:v>
                </c:pt>
                <c:pt idx="47">
                  <c:v>0.41062885820260053</c:v>
                </c:pt>
                <c:pt idx="48">
                  <c:v>0.41726843723381052</c:v>
                </c:pt>
                <c:pt idx="49">
                  <c:v>0.42380033214079194</c:v>
                </c:pt>
                <c:pt idx="50">
                  <c:v>0.43022620635517689</c:v>
                </c:pt>
                <c:pt idx="51">
                  <c:v>0.43654773715689266</c:v>
                </c:pt>
                <c:pt idx="52">
                  <c:v>0.44276661078843171</c:v>
                </c:pt>
                <c:pt idx="53">
                  <c:v>0.44888451809108282</c:v>
                </c:pt>
                <c:pt idx="54">
                  <c:v>0.45490315061339281</c:v>
                </c:pt>
                <c:pt idx="55">
                  <c:v>0.46082419714693768</c:v>
                </c:pt>
                <c:pt idx="56">
                  <c:v>0.46664934064880259</c:v>
                </c:pt>
                <c:pt idx="57">
                  <c:v>0.472380255514042</c:v>
                </c:pt>
                <c:pt idx="58">
                  <c:v>0.47801860516488137</c:v>
                </c:pt>
                <c:pt idx="59">
                  <c:v>0.48356603992654362</c:v>
                </c:pt>
                <c:pt idx="60">
                  <c:v>0.4890241951624224</c:v>
                </c:pt>
                <c:pt idx="61">
                  <c:v>0.4943946896438613</c:v>
                </c:pt>
                <c:pt idx="62">
                  <c:v>0.49967912413210197</c:v>
                </c:pt>
                <c:pt idx="63">
                  <c:v>0.50487908015203986</c:v>
                </c:pt>
                <c:pt idx="64">
                  <c:v>0.50999611893930796</c:v>
                </c:pt>
                <c:pt idx="65">
                  <c:v>0.5150317805439083</c:v>
                </c:pt>
                <c:pt idx="66">
                  <c:v>0.51998758307514747</c:v>
                </c:pt>
                <c:pt idx="67">
                  <c:v>0.52486502207403685</c:v>
                </c:pt>
                <c:pt idx="68">
                  <c:v>0.52966557000057057</c:v>
                </c:pt>
                <c:pt idx="69">
                  <c:v>0.53439067582445965</c:v>
                </c:pt>
                <c:pt idx="70">
                  <c:v>0.53904176470892451</c:v>
                </c:pt>
                <c:pt idx="71">
                  <c:v>0.54362023777811042</c:v>
                </c:pt>
                <c:pt idx="72">
                  <c:v>0.54812747195953959</c:v>
                </c:pt>
                <c:pt idx="73">
                  <c:v>0.55256481989380346</c:v>
                </c:pt>
                <c:pt idx="74">
                  <c:v>0.55693360990440299</c:v>
                </c:pt>
                <c:pt idx="75">
                  <c:v>0.56123514602129709</c:v>
                </c:pt>
                <c:pt idx="76">
                  <c:v>0.56547070805230426</c:v>
                </c:pt>
                <c:pt idx="77">
                  <c:v>0.56964155169703923</c:v>
                </c:pt>
                <c:pt idx="78">
                  <c:v>0.57374890869855566</c:v>
                </c:pt>
                <c:pt idx="79">
                  <c:v>0.57779398702830564</c:v>
                </c:pt>
                <c:pt idx="80">
                  <c:v>0.58177797110043949</c:v>
                </c:pt>
                <c:pt idx="81">
                  <c:v>0.58570202201182719</c:v>
                </c:pt>
                <c:pt idx="82">
                  <c:v>0.58956727780452789</c:v>
                </c:pt>
                <c:pt idx="83">
                  <c:v>0.59337485374773624</c:v>
                </c:pt>
                <c:pt idx="84">
                  <c:v>0.59712584263651136</c:v>
                </c:pt>
                <c:pt idx="85">
                  <c:v>0.60082131510485415</c:v>
                </c:pt>
                <c:pt idx="86">
                  <c:v>0.6044623199509227</c:v>
                </c:pt>
                <c:pt idx="87">
                  <c:v>0.60804988447239516</c:v>
                </c:pt>
                <c:pt idx="88">
                  <c:v>0.61158501481017613</c:v>
                </c:pt>
                <c:pt idx="89">
                  <c:v>0.61506869629882133</c:v>
                </c:pt>
                <c:pt idx="90">
                  <c:v>0.61850189382221199</c:v>
                </c:pt>
                <c:pt idx="91">
                  <c:v>0.62188555217316221</c:v>
                </c:pt>
                <c:pt idx="92">
                  <c:v>0.62522059641577066</c:v>
                </c:pt>
                <c:pt idx="93">
                  <c:v>0.62850793224944868</c:v>
                </c:pt>
                <c:pt idx="94">
                  <c:v>0.63174844637367278</c:v>
                </c:pt>
                <c:pt idx="95">
                  <c:v>0.63494300685260474</c:v>
                </c:pt>
                <c:pt idx="96">
                  <c:v>0.63809246347881543</c:v>
                </c:pt>
                <c:pt idx="97">
                  <c:v>0.64119764813543523</c:v>
                </c:pt>
                <c:pt idx="98">
                  <c:v>0.64425937515612464</c:v>
                </c:pt>
                <c:pt idx="99">
                  <c:v>0.64727844168233173</c:v>
                </c:pt>
                <c:pt idx="100">
                  <c:v>0.65025562801736503</c:v>
                </c:pt>
                <c:pt idx="101">
                  <c:v>0.65319169797686794</c:v>
                </c:pt>
                <c:pt idx="102">
                  <c:v>0.65608739923532922</c:v>
                </c:pt>
                <c:pt idx="103">
                  <c:v>0.65894346366831824</c:v>
                </c:pt>
                <c:pt idx="104">
                  <c:v>0.66176060769016931</c:v>
                </c:pt>
                <c:pt idx="105">
                  <c:v>0.66453953258688414</c:v>
                </c:pt>
                <c:pt idx="106">
                  <c:v>0.66728092484405177</c:v>
                </c:pt>
                <c:pt idx="107">
                  <c:v>0.66998545646962127</c:v>
                </c:pt>
                <c:pt idx="108">
                  <c:v>0.67265378531138886</c:v>
                </c:pt>
                <c:pt idx="109">
                  <c:v>0.6752865553690881</c:v>
                </c:pt>
                <c:pt idx="110">
                  <c:v>0.67788439710099568</c:v>
                </c:pt>
                <c:pt idx="111">
                  <c:v>0.68044792772498641</c:v>
                </c:pt>
                <c:pt idx="112">
                  <c:v>0.6829777515139881</c:v>
                </c:pt>
                <c:pt idx="113">
                  <c:v>0.68547446008580948</c:v>
                </c:pt>
                <c:pt idx="114">
                  <c:v>0.6879386326873238</c:v>
                </c:pt>
                <c:pt idx="115">
                  <c:v>0.69037083647300646</c:v>
                </c:pt>
                <c:pt idx="116">
                  <c:v>0.69277162677784243</c:v>
                </c:pt>
                <c:pt idx="117">
                  <c:v>0.69514154738462119</c:v>
                </c:pt>
                <c:pt idx="118">
                  <c:v>0.69748113078565344</c:v>
                </c:pt>
                <c:pt idx="119">
                  <c:v>0.69979089843895159</c:v>
                </c:pt>
                <c:pt idx="120">
                  <c:v>0.70207136101892287</c:v>
                </c:pt>
                <c:pt idx="121">
                  <c:v>0.70432301866162605</c:v>
                </c:pt>
                <c:pt idx="122">
                  <c:v>0.70654636120466074</c:v>
                </c:pt>
                <c:pt idx="123">
                  <c:v>0.70874186842175069</c:v>
                </c:pt>
                <c:pt idx="124">
                  <c:v>0.71091001025209211</c:v>
                </c:pt>
                <c:pt idx="125">
                  <c:v>0.71305124702454603</c:v>
                </c:pt>
                <c:pt idx="126">
                  <c:v>0.71516602967674814</c:v>
                </c:pt>
                <c:pt idx="127">
                  <c:v>0.71725479996922092</c:v>
                </c:pt>
                <c:pt idx="128">
                  <c:v>0.7193179906945687</c:v>
                </c:pt>
                <c:pt idx="129">
                  <c:v>0.72135602588184244</c:v>
                </c:pt>
                <c:pt idx="130">
                  <c:v>0.72336932099616147</c:v>
                </c:pt>
                <c:pt idx="131">
                  <c:v>0.72535828313367579</c:v>
                </c:pt>
                <c:pt idx="132">
                  <c:v>0.7273233112119647</c:v>
                </c:pt>
                <c:pt idx="133">
                  <c:v>0.72926479615595341</c:v>
                </c:pt>
                <c:pt idx="134">
                  <c:v>0.73118312107944194</c:v>
                </c:pt>
                <c:pt idx="135">
                  <c:v>0.73307866146233491</c:v>
                </c:pt>
                <c:pt idx="136">
                  <c:v>0.73495178532365901</c:v>
                </c:pt>
                <c:pt idx="137">
                  <c:v>0.73680285339046114</c:v>
                </c:pt>
                <c:pt idx="138">
                  <c:v>0.7386322192626712</c:v>
                </c:pt>
                <c:pt idx="139">
                  <c:v>0.74044022957402322</c:v>
                </c:pt>
                <c:pt idx="140">
                  <c:v>0.74222722414911402</c:v>
                </c:pt>
                <c:pt idx="141">
                  <c:v>0.74399353615669461</c:v>
                </c:pt>
                <c:pt idx="142">
                  <c:v>0.74573949225927105</c:v>
                </c:pt>
                <c:pt idx="143">
                  <c:v>0.74746541275910627</c:v>
                </c:pt>
                <c:pt idx="144">
                  <c:v>0.74917161174070013</c:v>
                </c:pt>
                <c:pt idx="145">
                  <c:v>0.7508583972098325</c:v>
                </c:pt>
                <c:pt idx="146">
                  <c:v>0.75252607122925119</c:v>
                </c:pt>
                <c:pt idx="147">
                  <c:v>0.75417493005107927</c:v>
                </c:pt>
                <c:pt idx="148">
                  <c:v>0.75580526424602512</c:v>
                </c:pt>
                <c:pt idx="149">
                  <c:v>0.75741735882946781</c:v>
                </c:pt>
                <c:pt idx="150">
                  <c:v>0.75901149338449603</c:v>
                </c:pt>
                <c:pt idx="151">
                  <c:v>0.7605879421819709</c:v>
                </c:pt>
                <c:pt idx="152">
                  <c:v>0.76214697429768874</c:v>
                </c:pt>
                <c:pt idx="153">
                  <c:v>0.76368885372671169</c:v>
                </c:pt>
                <c:pt idx="154">
                  <c:v>0.76521383949493849</c:v>
                </c:pt>
                <c:pt idx="155">
                  <c:v>0.7667221857679779</c:v>
                </c:pt>
                <c:pt idx="156">
                  <c:v>0.76821414195740167</c:v>
                </c:pt>
                <c:pt idx="157">
                  <c:v>0.76968995282442754</c:v>
                </c:pt>
                <c:pt idx="158">
                  <c:v>0.77114985858111251</c:v>
                </c:pt>
                <c:pt idx="159">
                  <c:v>0.77259409498910381</c:v>
                </c:pt>
                <c:pt idx="160">
                  <c:v>0.77402289345601805</c:v>
                </c:pt>
                <c:pt idx="161">
                  <c:v>0.77543648112950425</c:v>
                </c:pt>
                <c:pt idx="162">
                  <c:v>0.7768350809890503</c:v>
                </c:pt>
                <c:pt idx="163">
                  <c:v>0.77821891193558668</c:v>
                </c:pt>
                <c:pt idx="164">
                  <c:v>0.77958818887894687</c:v>
                </c:pt>
                <c:pt idx="165">
                  <c:v>0.7809431228232363</c:v>
                </c:pt>
                <c:pt idx="166">
                  <c:v>0.78228392095016241</c:v>
                </c:pt>
                <c:pt idx="167">
                  <c:v>0.78361078670037754</c:v>
                </c:pt>
                <c:pt idx="168">
                  <c:v>0.7849239198528869</c:v>
                </c:pt>
                <c:pt idx="169">
                  <c:v>0.78622351660256662</c:v>
                </c:pt>
                <c:pt idx="170">
                  <c:v>0.78750976963584263</c:v>
                </c:pt>
                <c:pt idx="171">
                  <c:v>0.78878286820457799</c:v>
                </c:pt>
                <c:pt idx="172">
                  <c:v>0.79004299819820967</c:v>
                </c:pt>
                <c:pt idx="173">
                  <c:v>0.79129034221418382</c:v>
                </c:pt>
                <c:pt idx="174">
                  <c:v>0.79252507962672936</c:v>
                </c:pt>
                <c:pt idx="175">
                  <c:v>0.79374738665401379</c:v>
                </c:pt>
                <c:pt idx="176">
                  <c:v>0.79495743642372163</c:v>
                </c:pt>
                <c:pt idx="177">
                  <c:v>0.79615539903709542</c:v>
                </c:pt>
                <c:pt idx="178">
                  <c:v>0.79734144163147802</c:v>
                </c:pt>
                <c:pt idx="179">
                  <c:v>0.79851572844139485</c:v>
                </c:pt>
                <c:pt idx="180">
                  <c:v>0.79967842085821073</c:v>
                </c:pt>
                <c:pt idx="181">
                  <c:v>0.80082967748840272</c:v>
                </c:pt>
                <c:pt idx="182">
                  <c:v>0.80196965421047606</c:v>
                </c:pt>
                <c:pt idx="183">
                  <c:v>0.80309850423056361</c:v>
                </c:pt>
                <c:pt idx="184">
                  <c:v>0.80421637813674229</c:v>
                </c:pt>
                <c:pt idx="185">
                  <c:v>0.80532342395209067</c:v>
                </c:pt>
                <c:pt idx="186">
                  <c:v>0.80641978718653251</c:v>
                </c:pt>
                <c:pt idx="187">
                  <c:v>0.80750561088748385</c:v>
                </c:pt>
                <c:pt idx="188">
                  <c:v>0.8085810356893417</c:v>
                </c:pt>
                <c:pt idx="189">
                  <c:v>0.8096461998618425</c:v>
                </c:pt>
                <c:pt idx="190">
                  <c:v>0.81070123935731353</c:v>
                </c:pt>
                <c:pt idx="191">
                  <c:v>0.81174628785685299</c:v>
                </c:pt>
                <c:pt idx="192">
                  <c:v>0.81278147681545765</c:v>
                </c:pt>
                <c:pt idx="193">
                  <c:v>0.81380693550613081</c:v>
                </c:pt>
                <c:pt idx="194">
                  <c:v>0.81482279106298983</c:v>
                </c:pt>
                <c:pt idx="195">
                  <c:v>0.81582916852340492</c:v>
                </c:pt>
                <c:pt idx="196">
                  <c:v>0.81682619086918806</c:v>
                </c:pt>
                <c:pt idx="197">
                  <c:v>0.81781397906685582</c:v>
                </c:pt>
                <c:pt idx="198">
                  <c:v>0.81879265210699326</c:v>
                </c:pt>
                <c:pt idx="199">
                  <c:v>0.8197623270427371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0-4555-9CD4-D2CE4EDAE01E}"/>
            </c:ext>
          </c:extLst>
        </c:ser>
        <c:ser>
          <c:idx val="2"/>
          <c:order val="2"/>
          <c:tx>
            <c:strRef>
              <c:f>Hill_Saturation!$R$2</c:f>
              <c:strCache>
                <c:ptCount val="1"/>
                <c:pt idx="0">
                  <c:v>tv_spend_lakhs_sat_70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Hill_Saturation!$D$3:$D$202</c:f>
              <c:numCache>
                <c:formatCode>General</c:formatCode>
                <c:ptCount val="200"/>
                <c:pt idx="0">
                  <c:v>0</c:v>
                </c:pt>
                <c:pt idx="1">
                  <c:v>0.23770650707318502</c:v>
                </c:pt>
                <c:pt idx="2">
                  <c:v>0.47541301414637005</c:v>
                </c:pt>
                <c:pt idx="3">
                  <c:v>0.71311952121955513</c:v>
                </c:pt>
                <c:pt idx="4">
                  <c:v>0.9508260282927401</c:v>
                </c:pt>
                <c:pt idx="5">
                  <c:v>1.1885325353659251</c:v>
                </c:pt>
                <c:pt idx="6">
                  <c:v>1.42623904243911</c:v>
                </c:pt>
                <c:pt idx="7">
                  <c:v>1.663945549512295</c:v>
                </c:pt>
                <c:pt idx="8">
                  <c:v>1.90165205658548</c:v>
                </c:pt>
                <c:pt idx="9">
                  <c:v>2.1393585636586652</c:v>
                </c:pt>
                <c:pt idx="10">
                  <c:v>2.3770650707318501</c:v>
                </c:pt>
                <c:pt idx="11">
                  <c:v>2.6147715778050351</c:v>
                </c:pt>
                <c:pt idx="12">
                  <c:v>2.8524780848782201</c:v>
                </c:pt>
                <c:pt idx="13">
                  <c:v>3.090184591951405</c:v>
                </c:pt>
                <c:pt idx="14">
                  <c:v>3.32789109902459</c:v>
                </c:pt>
                <c:pt idx="15">
                  <c:v>3.565597606097775</c:v>
                </c:pt>
                <c:pt idx="16">
                  <c:v>3.80330411317096</c:v>
                </c:pt>
                <c:pt idx="17">
                  <c:v>4.0410106202441449</c:v>
                </c:pt>
                <c:pt idx="18">
                  <c:v>4.2787171273173303</c:v>
                </c:pt>
                <c:pt idx="19">
                  <c:v>4.5164236343905158</c:v>
                </c:pt>
                <c:pt idx="20">
                  <c:v>4.7541301414637012</c:v>
                </c:pt>
                <c:pt idx="21">
                  <c:v>4.9918366485368866</c:v>
                </c:pt>
                <c:pt idx="22">
                  <c:v>5.229543155610072</c:v>
                </c:pt>
                <c:pt idx="23">
                  <c:v>5.4672496626832574</c:v>
                </c:pt>
                <c:pt idx="24">
                  <c:v>5.7049561697564428</c:v>
                </c:pt>
                <c:pt idx="25">
                  <c:v>5.9426626768296282</c:v>
                </c:pt>
                <c:pt idx="26">
                  <c:v>6.1803691839028136</c:v>
                </c:pt>
                <c:pt idx="27">
                  <c:v>6.4180756909759991</c:v>
                </c:pt>
                <c:pt idx="28">
                  <c:v>6.6557821980491845</c:v>
                </c:pt>
                <c:pt idx="29">
                  <c:v>6.8934887051223699</c:v>
                </c:pt>
                <c:pt idx="30">
                  <c:v>7.1311952121955553</c:v>
                </c:pt>
                <c:pt idx="31">
                  <c:v>7.3689017192687407</c:v>
                </c:pt>
                <c:pt idx="32">
                  <c:v>7.6066082263419261</c:v>
                </c:pt>
                <c:pt idx="33">
                  <c:v>7.8443147334151115</c:v>
                </c:pt>
                <c:pt idx="34">
                  <c:v>8.082021240488297</c:v>
                </c:pt>
                <c:pt idx="35">
                  <c:v>8.3197277475614815</c:v>
                </c:pt>
                <c:pt idx="36">
                  <c:v>8.557434254634666</c:v>
                </c:pt>
                <c:pt idx="37">
                  <c:v>8.7951407617078505</c:v>
                </c:pt>
                <c:pt idx="38">
                  <c:v>9.0328472687810351</c:v>
                </c:pt>
                <c:pt idx="39">
                  <c:v>9.2705537758542196</c:v>
                </c:pt>
                <c:pt idx="40">
                  <c:v>9.5082602829274041</c:v>
                </c:pt>
                <c:pt idx="41">
                  <c:v>9.7459667900005886</c:v>
                </c:pt>
                <c:pt idx="42">
                  <c:v>9.9836732970737732</c:v>
                </c:pt>
                <c:pt idx="43">
                  <c:v>10.221379804146958</c:v>
                </c:pt>
                <c:pt idx="44">
                  <c:v>10.459086311220142</c:v>
                </c:pt>
                <c:pt idx="45">
                  <c:v>10.696792818293327</c:v>
                </c:pt>
                <c:pt idx="46">
                  <c:v>10.934499325366511</c:v>
                </c:pt>
                <c:pt idx="47">
                  <c:v>11.172205832439696</c:v>
                </c:pt>
                <c:pt idx="48">
                  <c:v>11.40991233951288</c:v>
                </c:pt>
                <c:pt idx="49">
                  <c:v>11.647618846586065</c:v>
                </c:pt>
                <c:pt idx="50">
                  <c:v>11.885325353659249</c:v>
                </c:pt>
                <c:pt idx="51">
                  <c:v>12.123031860732434</c:v>
                </c:pt>
                <c:pt idx="52">
                  <c:v>12.360738367805618</c:v>
                </c:pt>
                <c:pt idx="53">
                  <c:v>12.598444874878803</c:v>
                </c:pt>
                <c:pt idx="54">
                  <c:v>12.836151381951987</c:v>
                </c:pt>
                <c:pt idx="55">
                  <c:v>13.073857889025172</c:v>
                </c:pt>
                <c:pt idx="56">
                  <c:v>13.311564396098357</c:v>
                </c:pt>
                <c:pt idx="57">
                  <c:v>13.549270903171541</c:v>
                </c:pt>
                <c:pt idx="58">
                  <c:v>13.786977410244726</c:v>
                </c:pt>
                <c:pt idx="59">
                  <c:v>14.02468391731791</c:v>
                </c:pt>
                <c:pt idx="60">
                  <c:v>14.262390424391095</c:v>
                </c:pt>
                <c:pt idx="61">
                  <c:v>14.500096931464279</c:v>
                </c:pt>
                <c:pt idx="62">
                  <c:v>14.737803438537464</c:v>
                </c:pt>
                <c:pt idx="63">
                  <c:v>14.975509945610648</c:v>
                </c:pt>
                <c:pt idx="64">
                  <c:v>15.213216452683833</c:v>
                </c:pt>
                <c:pt idx="65">
                  <c:v>15.450922959757017</c:v>
                </c:pt>
                <c:pt idx="66">
                  <c:v>15.688629466830202</c:v>
                </c:pt>
                <c:pt idx="67">
                  <c:v>15.926335973903386</c:v>
                </c:pt>
                <c:pt idx="68">
                  <c:v>16.164042480976573</c:v>
                </c:pt>
                <c:pt idx="69">
                  <c:v>16.401748988049757</c:v>
                </c:pt>
                <c:pt idx="70">
                  <c:v>16.639455495122942</c:v>
                </c:pt>
                <c:pt idx="71">
                  <c:v>16.877162002196126</c:v>
                </c:pt>
                <c:pt idx="72">
                  <c:v>17.114868509269311</c:v>
                </c:pt>
                <c:pt idx="73">
                  <c:v>17.352575016342495</c:v>
                </c:pt>
                <c:pt idx="74">
                  <c:v>17.59028152341568</c:v>
                </c:pt>
                <c:pt idx="75">
                  <c:v>17.827988030488864</c:v>
                </c:pt>
                <c:pt idx="76">
                  <c:v>18.065694537562049</c:v>
                </c:pt>
                <c:pt idx="77">
                  <c:v>18.303401044635233</c:v>
                </c:pt>
                <c:pt idx="78">
                  <c:v>18.541107551708418</c:v>
                </c:pt>
                <c:pt idx="79">
                  <c:v>18.778814058781602</c:v>
                </c:pt>
                <c:pt idx="80">
                  <c:v>19.016520565854787</c:v>
                </c:pt>
                <c:pt idx="81">
                  <c:v>19.254227072927971</c:v>
                </c:pt>
                <c:pt idx="82">
                  <c:v>19.491933580001156</c:v>
                </c:pt>
                <c:pt idx="83">
                  <c:v>19.72964008707434</c:v>
                </c:pt>
                <c:pt idx="84">
                  <c:v>19.967346594147525</c:v>
                </c:pt>
                <c:pt idx="85">
                  <c:v>20.20505310122071</c:v>
                </c:pt>
                <c:pt idx="86">
                  <c:v>20.442759608293894</c:v>
                </c:pt>
                <c:pt idx="87">
                  <c:v>20.680466115367079</c:v>
                </c:pt>
                <c:pt idx="88">
                  <c:v>20.918172622440263</c:v>
                </c:pt>
                <c:pt idx="89">
                  <c:v>21.155879129513448</c:v>
                </c:pt>
                <c:pt idx="90">
                  <c:v>21.393585636586632</c:v>
                </c:pt>
                <c:pt idx="91">
                  <c:v>21.631292143659817</c:v>
                </c:pt>
                <c:pt idx="92">
                  <c:v>21.868998650733001</c:v>
                </c:pt>
                <c:pt idx="93">
                  <c:v>22.106705157806186</c:v>
                </c:pt>
                <c:pt idx="94">
                  <c:v>22.34441166487937</c:v>
                </c:pt>
                <c:pt idx="95">
                  <c:v>22.582118171952555</c:v>
                </c:pt>
                <c:pt idx="96">
                  <c:v>22.819824679025739</c:v>
                </c:pt>
                <c:pt idx="97">
                  <c:v>23.057531186098924</c:v>
                </c:pt>
                <c:pt idx="98">
                  <c:v>23.295237693172108</c:v>
                </c:pt>
                <c:pt idx="99">
                  <c:v>23.532944200245293</c:v>
                </c:pt>
                <c:pt idx="100">
                  <c:v>23.770650707318477</c:v>
                </c:pt>
                <c:pt idx="101">
                  <c:v>24.008357214391662</c:v>
                </c:pt>
                <c:pt idx="102">
                  <c:v>24.246063721464846</c:v>
                </c:pt>
                <c:pt idx="103">
                  <c:v>24.483770228538031</c:v>
                </c:pt>
                <c:pt idx="104">
                  <c:v>24.721476735611216</c:v>
                </c:pt>
                <c:pt idx="105">
                  <c:v>24.9591832426844</c:v>
                </c:pt>
                <c:pt idx="106">
                  <c:v>25.196889749757585</c:v>
                </c:pt>
                <c:pt idx="107">
                  <c:v>25.434596256830769</c:v>
                </c:pt>
                <c:pt idx="108">
                  <c:v>25.672302763903954</c:v>
                </c:pt>
                <c:pt idx="109">
                  <c:v>25.910009270977138</c:v>
                </c:pt>
                <c:pt idx="110">
                  <c:v>26.147715778050323</c:v>
                </c:pt>
                <c:pt idx="111">
                  <c:v>26.385422285123507</c:v>
                </c:pt>
                <c:pt idx="112">
                  <c:v>26.623128792196692</c:v>
                </c:pt>
                <c:pt idx="113">
                  <c:v>26.860835299269876</c:v>
                </c:pt>
                <c:pt idx="114">
                  <c:v>27.098541806343061</c:v>
                </c:pt>
                <c:pt idx="115">
                  <c:v>27.336248313416245</c:v>
                </c:pt>
                <c:pt idx="116">
                  <c:v>27.57395482048943</c:v>
                </c:pt>
                <c:pt idx="117">
                  <c:v>27.811661327562614</c:v>
                </c:pt>
                <c:pt idx="118">
                  <c:v>28.049367834635799</c:v>
                </c:pt>
                <c:pt idx="119">
                  <c:v>28.287074341708983</c:v>
                </c:pt>
                <c:pt idx="120">
                  <c:v>28.524780848782168</c:v>
                </c:pt>
                <c:pt idx="121">
                  <c:v>28.762487355855352</c:v>
                </c:pt>
                <c:pt idx="122">
                  <c:v>29.000193862928537</c:v>
                </c:pt>
                <c:pt idx="123">
                  <c:v>29.237900370001721</c:v>
                </c:pt>
                <c:pt idx="124">
                  <c:v>29.475606877074906</c:v>
                </c:pt>
                <c:pt idx="125">
                  <c:v>29.713313384148091</c:v>
                </c:pt>
                <c:pt idx="126">
                  <c:v>29.951019891221275</c:v>
                </c:pt>
                <c:pt idx="127">
                  <c:v>30.18872639829446</c:v>
                </c:pt>
                <c:pt idx="128">
                  <c:v>30.426432905367644</c:v>
                </c:pt>
                <c:pt idx="129">
                  <c:v>30.664139412440829</c:v>
                </c:pt>
                <c:pt idx="130">
                  <c:v>30.901845919514013</c:v>
                </c:pt>
                <c:pt idx="131">
                  <c:v>31.139552426587198</c:v>
                </c:pt>
                <c:pt idx="132">
                  <c:v>31.377258933660382</c:v>
                </c:pt>
                <c:pt idx="133">
                  <c:v>31.614965440733567</c:v>
                </c:pt>
                <c:pt idx="134">
                  <c:v>31.852671947806751</c:v>
                </c:pt>
                <c:pt idx="135">
                  <c:v>32.090378454879939</c:v>
                </c:pt>
                <c:pt idx="136">
                  <c:v>32.328084961953124</c:v>
                </c:pt>
                <c:pt idx="137">
                  <c:v>32.565791469026308</c:v>
                </c:pt>
                <c:pt idx="138">
                  <c:v>32.803497976099493</c:v>
                </c:pt>
                <c:pt idx="139">
                  <c:v>33.041204483172677</c:v>
                </c:pt>
                <c:pt idx="140">
                  <c:v>33.278910990245862</c:v>
                </c:pt>
                <c:pt idx="141">
                  <c:v>33.516617497319046</c:v>
                </c:pt>
                <c:pt idx="142">
                  <c:v>33.754324004392231</c:v>
                </c:pt>
                <c:pt idx="143">
                  <c:v>33.992030511465416</c:v>
                </c:pt>
                <c:pt idx="144">
                  <c:v>34.2297370185386</c:v>
                </c:pt>
                <c:pt idx="145">
                  <c:v>34.467443525611785</c:v>
                </c:pt>
                <c:pt idx="146">
                  <c:v>34.705150032684969</c:v>
                </c:pt>
                <c:pt idx="147">
                  <c:v>34.942856539758154</c:v>
                </c:pt>
                <c:pt idx="148">
                  <c:v>35.180563046831338</c:v>
                </c:pt>
                <c:pt idx="149">
                  <c:v>35.418269553904523</c:v>
                </c:pt>
                <c:pt idx="150">
                  <c:v>35.655976060977707</c:v>
                </c:pt>
                <c:pt idx="151">
                  <c:v>35.893682568050892</c:v>
                </c:pt>
                <c:pt idx="152">
                  <c:v>36.131389075124076</c:v>
                </c:pt>
                <c:pt idx="153">
                  <c:v>36.369095582197261</c:v>
                </c:pt>
                <c:pt idx="154">
                  <c:v>36.606802089270445</c:v>
                </c:pt>
                <c:pt idx="155">
                  <c:v>36.84450859634363</c:v>
                </c:pt>
                <c:pt idx="156">
                  <c:v>37.082215103416814</c:v>
                </c:pt>
                <c:pt idx="157">
                  <c:v>37.319921610489999</c:v>
                </c:pt>
                <c:pt idx="158">
                  <c:v>37.557628117563183</c:v>
                </c:pt>
                <c:pt idx="159">
                  <c:v>37.795334624636368</c:v>
                </c:pt>
                <c:pt idx="160">
                  <c:v>38.033041131709552</c:v>
                </c:pt>
                <c:pt idx="161">
                  <c:v>38.270747638782737</c:v>
                </c:pt>
                <c:pt idx="162">
                  <c:v>38.508454145855922</c:v>
                </c:pt>
                <c:pt idx="163">
                  <c:v>38.746160652929106</c:v>
                </c:pt>
                <c:pt idx="164">
                  <c:v>38.983867160002291</c:v>
                </c:pt>
                <c:pt idx="165">
                  <c:v>39.221573667075475</c:v>
                </c:pt>
                <c:pt idx="166">
                  <c:v>39.45928017414866</c:v>
                </c:pt>
                <c:pt idx="167">
                  <c:v>39.696986681221844</c:v>
                </c:pt>
                <c:pt idx="168">
                  <c:v>39.934693188295029</c:v>
                </c:pt>
                <c:pt idx="169">
                  <c:v>40.172399695368213</c:v>
                </c:pt>
                <c:pt idx="170">
                  <c:v>40.410106202441398</c:v>
                </c:pt>
                <c:pt idx="171">
                  <c:v>40.647812709514582</c:v>
                </c:pt>
                <c:pt idx="172">
                  <c:v>40.885519216587767</c:v>
                </c:pt>
                <c:pt idx="173">
                  <c:v>41.123225723660951</c:v>
                </c:pt>
                <c:pt idx="174">
                  <c:v>41.360932230734136</c:v>
                </c:pt>
                <c:pt idx="175">
                  <c:v>41.59863873780732</c:v>
                </c:pt>
                <c:pt idx="176">
                  <c:v>41.836345244880505</c:v>
                </c:pt>
                <c:pt idx="177">
                  <c:v>42.074051751953689</c:v>
                </c:pt>
                <c:pt idx="178">
                  <c:v>42.311758259026874</c:v>
                </c:pt>
                <c:pt idx="179">
                  <c:v>42.549464766100058</c:v>
                </c:pt>
                <c:pt idx="180">
                  <c:v>42.787171273173243</c:v>
                </c:pt>
                <c:pt idx="181">
                  <c:v>43.024877780246428</c:v>
                </c:pt>
                <c:pt idx="182">
                  <c:v>43.262584287319612</c:v>
                </c:pt>
                <c:pt idx="183">
                  <c:v>43.500290794392797</c:v>
                </c:pt>
                <c:pt idx="184">
                  <c:v>43.737997301465981</c:v>
                </c:pt>
                <c:pt idx="185">
                  <c:v>43.975703808539166</c:v>
                </c:pt>
                <c:pt idx="186">
                  <c:v>44.21341031561235</c:v>
                </c:pt>
                <c:pt idx="187">
                  <c:v>44.451116822685535</c:v>
                </c:pt>
                <c:pt idx="188">
                  <c:v>44.688823329758719</c:v>
                </c:pt>
                <c:pt idx="189">
                  <c:v>44.926529836831904</c:v>
                </c:pt>
                <c:pt idx="190">
                  <c:v>45.164236343905088</c:v>
                </c:pt>
                <c:pt idx="191">
                  <c:v>45.401942850978273</c:v>
                </c:pt>
                <c:pt idx="192">
                  <c:v>45.639649358051457</c:v>
                </c:pt>
                <c:pt idx="193">
                  <c:v>45.877355865124642</c:v>
                </c:pt>
                <c:pt idx="194">
                  <c:v>46.115062372197826</c:v>
                </c:pt>
                <c:pt idx="195">
                  <c:v>46.352768879271011</c:v>
                </c:pt>
                <c:pt idx="196">
                  <c:v>46.590475386344195</c:v>
                </c:pt>
                <c:pt idx="197">
                  <c:v>46.82818189341738</c:v>
                </c:pt>
                <c:pt idx="198">
                  <c:v>47.065888400490564</c:v>
                </c:pt>
                <c:pt idx="199">
                  <c:v>47.303594907563749</c:v>
                </c:pt>
              </c:numCache>
            </c:numRef>
          </c:cat>
          <c:val>
            <c:numRef>
              <c:f>Hill_Saturation!$R$3:$R$202</c:f>
              <c:numCache>
                <c:formatCode>General</c:formatCode>
                <c:ptCount val="200"/>
                <c:pt idx="0">
                  <c:v>0</c:v>
                </c:pt>
                <c:pt idx="1">
                  <c:v>4.0512202312608121E-3</c:v>
                </c:pt>
                <c:pt idx="2">
                  <c:v>9.9165282602075404E-3</c:v>
                </c:pt>
                <c:pt idx="3">
                  <c:v>1.668397751455258E-2</c:v>
                </c:pt>
                <c:pt idx="4">
                  <c:v>2.4068345780831276E-2</c:v>
                </c:pt>
                <c:pt idx="5">
                  <c:v>3.1909913537706801E-2</c:v>
                </c:pt>
                <c:pt idx="6">
                  <c:v>4.0102401396881017E-2</c:v>
                </c:pt>
                <c:pt idx="7">
                  <c:v>4.8568408079307457E-2</c:v>
                </c:pt>
                <c:pt idx="8">
                  <c:v>5.7248369782666009E-2</c:v>
                </c:pt>
                <c:pt idx="9">
                  <c:v>6.6094744859151802E-2</c:v>
                </c:pt>
                <c:pt idx="10">
                  <c:v>7.5068608916860041E-2</c:v>
                </c:pt>
                <c:pt idx="11">
                  <c:v>8.4137502359426783E-2</c:v>
                </c:pt>
                <c:pt idx="12">
                  <c:v>9.3273987601418196E-2</c:v>
                </c:pt>
                <c:pt idx="13">
                  <c:v>0.10245463606528904</c:v>
                </c:pt>
                <c:pt idx="14">
                  <c:v>0.1116592896176223</c:v>
                </c:pt>
                <c:pt idx="15">
                  <c:v>0.12087050502791249</c:v>
                </c:pt>
                <c:pt idx="16">
                  <c:v>0.13007312500828622</c:v>
                </c:pt>
                <c:pt idx="17">
                  <c:v>0.13925393955861334</c:v>
                </c:pt>
                <c:pt idx="18">
                  <c:v>0.14840141349076655</c:v>
                </c:pt>
                <c:pt idx="19">
                  <c:v>0.15750546360400669</c:v>
                </c:pt>
                <c:pt idx="20">
                  <c:v>0.16655727389119654</c:v>
                </c:pt>
                <c:pt idx="21">
                  <c:v>0.1755491404160496</c:v>
                </c:pt>
                <c:pt idx="22">
                  <c:v>0.18447433972233904</c:v>
                </c:pt>
                <c:pt idx="23">
                  <c:v>0.19332701618241938</c:v>
                </c:pt>
                <c:pt idx="24">
                  <c:v>0.20210208479097758</c:v>
                </c:pt>
                <c:pt idx="25">
                  <c:v>0.21079514670455193</c:v>
                </c:pt>
                <c:pt idx="26">
                  <c:v>0.21940241541168598</c:v>
                </c:pt>
                <c:pt idx="27">
                  <c:v>0.22792065185481894</c:v>
                </c:pt>
                <c:pt idx="28">
                  <c:v>0.23634710715527779</c:v>
                </c:pt>
                <c:pt idx="29">
                  <c:v>0.24467947184602518</c:v>
                </c:pt>
                <c:pt idx="30">
                  <c:v>0.25291583071344631</c:v>
                </c:pt>
                <c:pt idx="31">
                  <c:v>0.26105462250382311</c:v>
                </c:pt>
                <c:pt idx="32">
                  <c:v>0.26909460387262985</c:v>
                </c:pt>
                <c:pt idx="33">
                  <c:v>0.27703481705294153</c:v>
                </c:pt>
                <c:pt idx="34">
                  <c:v>0.28487456079864992</c:v>
                </c:pt>
                <c:pt idx="35">
                  <c:v>0.29261336422297546</c:v>
                </c:pt>
                <c:pt idx="36">
                  <c:v>0.30025096320609168</c:v>
                </c:pt>
                <c:pt idx="37">
                  <c:v>0.30778727908989195</c:v>
                </c:pt>
                <c:pt idx="38">
                  <c:v>0.31522239941487351</c:v>
                </c:pt>
                <c:pt idx="39">
                  <c:v>0.32255656048519121</c:v>
                </c:pt>
                <c:pt idx="40">
                  <c:v>0.32979013157424203</c:v>
                </c:pt>
                <c:pt idx="41">
                  <c:v>0.33692360060555154</c:v>
                </c:pt>
                <c:pt idx="42">
                  <c:v>0.34395756116293474</c:v>
                </c:pt>
                <c:pt idx="43">
                  <c:v>0.35089270070043366</c:v>
                </c:pt>
                <c:pt idx="44">
                  <c:v>0.35772978983684334</c:v>
                </c:pt>
                <c:pt idx="45">
                  <c:v>0.36446967263207486</c:v>
                </c:pt>
                <c:pt idx="46">
                  <c:v>0.3711132577534671</c:v>
                </c:pt>
                <c:pt idx="47">
                  <c:v>0.37766151044967661</c:v>
                </c:pt>
                <c:pt idx="48">
                  <c:v>0.38411544525815289</c:v>
                </c:pt>
                <c:pt idx="49">
                  <c:v>0.39047611937959803</c:v>
                </c:pt>
                <c:pt idx="50">
                  <c:v>0.39674462665935739</c:v>
                </c:pt>
                <c:pt idx="51">
                  <c:v>0.40292209212150676</c:v>
                </c:pt>
                <c:pt idx="52">
                  <c:v>0.40900966700657487</c:v>
                </c:pt>
                <c:pt idx="53">
                  <c:v>0.41500852426846596</c:v>
                </c:pt>
                <c:pt idx="54">
                  <c:v>0.42091985449028624</c:v>
                </c:pt>
                <c:pt idx="55">
                  <c:v>0.42674486218248237</c:v>
                </c:pt>
                <c:pt idx="56">
                  <c:v>0.43248476243003764</c:v>
                </c:pt>
                <c:pt idx="57">
                  <c:v>0.438140777858467</c:v>
                </c:pt>
                <c:pt idx="58">
                  <c:v>0.44371413589106395</c:v>
                </c:pt>
                <c:pt idx="59">
                  <c:v>0.44920606627228238</c:v>
                </c:pt>
                <c:pt idx="60">
                  <c:v>0.45461779883435949</c:v>
                </c:pt>
                <c:pt idx="61">
                  <c:v>0.45995056148627322</c:v>
                </c:pt>
                <c:pt idx="62">
                  <c:v>0.46520557840594895</c:v>
                </c:pt>
                <c:pt idx="63">
                  <c:v>0.47038406841827018</c:v>
                </c:pt>
                <c:pt idx="64">
                  <c:v>0.47548724354294702</c:v>
                </c:pt>
                <c:pt idx="65">
                  <c:v>0.48051630769765524</c:v>
                </c:pt>
                <c:pt idx="66">
                  <c:v>0.48547245554309337</c:v>
                </c:pt>
                <c:pt idx="67">
                  <c:v>0.49035687145773876</c:v>
                </c:pt>
                <c:pt idx="68">
                  <c:v>0.49517072863110545</c:v>
                </c:pt>
                <c:pt idx="69">
                  <c:v>0.49991518826525388</c:v>
                </c:pt>
                <c:pt idx="70">
                  <c:v>0.50459139887514848</c:v>
                </c:pt>
                <c:pt idx="71">
                  <c:v>0.50920049567925174</c:v>
                </c:pt>
                <c:pt idx="72">
                  <c:v>0.51374360007245434</c:v>
                </c:pt>
                <c:pt idx="73">
                  <c:v>0.51822181917409649</c:v>
                </c:pt>
                <c:pt idx="74">
                  <c:v>0.52263624544443676</c:v>
                </c:pt>
                <c:pt idx="75">
                  <c:v>0.52698795636347129</c:v>
                </c:pt>
                <c:pt idx="76">
                  <c:v>0.53127801416651066</c:v>
                </c:pt>
                <c:pt idx="77">
                  <c:v>0.53550746563138207</c:v>
                </c:pt>
                <c:pt idx="78">
                  <c:v>0.53967734191254857</c:v>
                </c:pt>
                <c:pt idx="79">
                  <c:v>0.54378865841781987</c:v>
                </c:pt>
                <c:pt idx="80">
                  <c:v>0.54784241472369322</c:v>
                </c:pt>
                <c:pt idx="81">
                  <c:v>0.55183959452568188</c:v>
                </c:pt>
                <c:pt idx="82">
                  <c:v>0.55578116562028956</c:v>
                </c:pt>
                <c:pt idx="83">
                  <c:v>0.55966807991557188</c:v>
                </c:pt>
                <c:pt idx="84">
                  <c:v>0.56350127346746537</c:v>
                </c:pt>
                <c:pt idx="85">
                  <c:v>0.56728166653931356</c:v>
                </c:pt>
                <c:pt idx="86">
                  <c:v>0.57101016368221491</c:v>
                </c:pt>
                <c:pt idx="87">
                  <c:v>0.57468765383403131</c:v>
                </c:pt>
                <c:pt idx="88">
                  <c:v>0.5783150104350635</c:v>
                </c:pt>
                <c:pt idx="89">
                  <c:v>0.58189309155857361</c:v>
                </c:pt>
                <c:pt idx="90">
                  <c:v>0.58542274005448014</c:v>
                </c:pt>
                <c:pt idx="91">
                  <c:v>0.58890478370470123</c:v>
                </c:pt>
                <c:pt idx="92">
                  <c:v>0.59234003538874247</c:v>
                </c:pt>
                <c:pt idx="93">
                  <c:v>0.59572929325824731</c:v>
                </c:pt>
                <c:pt idx="94">
                  <c:v>0.59907334091933839</c:v>
                </c:pt>
                <c:pt idx="95">
                  <c:v>0.60237294762168037</c:v>
                </c:pt>
                <c:pt idx="96">
                  <c:v>0.60562886845328001</c:v>
                </c:pt>
                <c:pt idx="97">
                  <c:v>0.60884184454013579</c:v>
                </c:pt>
                <c:pt idx="98">
                  <c:v>0.61201260324991535</c:v>
                </c:pt>
                <c:pt idx="99">
                  <c:v>0.61514185839892266</c:v>
                </c:pt>
                <c:pt idx="100">
                  <c:v>0.61823031046167509</c:v>
                </c:pt>
                <c:pt idx="101">
                  <c:v>0.62127864678247535</c:v>
                </c:pt>
                <c:pt idx="102">
                  <c:v>0.62428754178841783</c:v>
                </c:pt>
                <c:pt idx="103">
                  <c:v>0.62725765720332305</c:v>
                </c:pt>
                <c:pt idx="104">
                  <c:v>0.6301896422621367</c:v>
                </c:pt>
                <c:pt idx="105">
                  <c:v>0.6330841339253811</c:v>
                </c:pt>
                <c:pt idx="106">
                  <c:v>0.63594175709327794</c:v>
                </c:pt>
                <c:pt idx="107">
                  <c:v>0.63876312481920461</c:v>
                </c:pt>
                <c:pt idx="108">
                  <c:v>0.64154883852218036</c:v>
                </c:pt>
                <c:pt idx="109">
                  <c:v>0.64429948819810423</c:v>
                </c:pt>
                <c:pt idx="110">
                  <c:v>0.64701565262950156</c:v>
                </c:pt>
                <c:pt idx="111">
                  <c:v>0.64969789959355972</c:v>
                </c:pt>
                <c:pt idx="112">
                  <c:v>0.65234678606825536</c:v>
                </c:pt>
                <c:pt idx="113">
                  <c:v>0.65496285843640367</c:v>
                </c:pt>
                <c:pt idx="114">
                  <c:v>0.65754665268747559</c:v>
                </c:pt>
                <c:pt idx="115">
                  <c:v>0.66009869461704418</c:v>
                </c:pt>
                <c:pt idx="116">
                  <c:v>0.66261950002375369</c:v>
                </c:pt>
                <c:pt idx="117">
                  <c:v>0.66510957490369915</c:v>
                </c:pt>
                <c:pt idx="118">
                  <c:v>0.6675694156421349</c:v>
                </c:pt>
                <c:pt idx="119">
                  <c:v>0.66999950920243845</c:v>
                </c:pt>
                <c:pt idx="120">
                  <c:v>0.67240033331226601</c:v>
                </c:pt>
                <c:pt idx="121">
                  <c:v>0.67477235664684743</c:v>
                </c:pt>
                <c:pt idx="122">
                  <c:v>0.67711603900938311</c:v>
                </c:pt>
                <c:pt idx="123">
                  <c:v>0.67943183150850894</c:v>
                </c:pt>
                <c:pt idx="124">
                  <c:v>0.68172017673280216</c:v>
                </c:pt>
                <c:pt idx="125">
                  <c:v>0.68398150892232046</c:v>
                </c:pt>
                <c:pt idx="126">
                  <c:v>0.68621625413715426</c:v>
                </c:pt>
                <c:pt idx="127">
                  <c:v>0.68842483042299718</c:v>
                </c:pt>
                <c:pt idx="128">
                  <c:v>0.69060764797373397</c:v>
                </c:pt>
                <c:pt idx="129">
                  <c:v>0.69276510929105206</c:v>
                </c:pt>
                <c:pt idx="130">
                  <c:v>0.69489760934109168</c:v>
                </c:pt>
                <c:pt idx="131">
                  <c:v>0.6970055357081465</c:v>
                </c:pt>
                <c:pt idx="132">
                  <c:v>0.6990892687454402</c:v>
                </c:pt>
                <c:pt idx="133">
                  <c:v>0.70114918172299634</c:v>
                </c:pt>
                <c:pt idx="134">
                  <c:v>0.70318564097263003</c:v>
                </c:pt>
                <c:pt idx="135">
                  <c:v>0.70519900603009156</c:v>
                </c:pt>
                <c:pt idx="136">
                  <c:v>0.70718962977438915</c:v>
                </c:pt>
                <c:pt idx="137">
                  <c:v>0.70915785856432667</c:v>
                </c:pt>
                <c:pt idx="138">
                  <c:v>0.71110403237229003</c:v>
                </c:pt>
                <c:pt idx="139">
                  <c:v>0.71302848491531845</c:v>
                </c:pt>
                <c:pt idx="140">
                  <c:v>0.71493154378349755</c:v>
                </c:pt>
                <c:pt idx="141">
                  <c:v>0.7168135305657144</c:v>
                </c:pt>
                <c:pt idx="142">
                  <c:v>0.71867476097281258</c:v>
                </c:pt>
                <c:pt idx="143">
                  <c:v>0.72051554495818948</c:v>
                </c:pt>
                <c:pt idx="144">
                  <c:v>0.72233618683587542</c:v>
                </c:pt>
                <c:pt idx="145">
                  <c:v>0.7241369853961348</c:v>
                </c:pt>
                <c:pt idx="146">
                  <c:v>0.72591823401863798</c:v>
                </c:pt>
                <c:pt idx="147">
                  <c:v>0.72768022078323569</c:v>
                </c:pt>
                <c:pt idx="148">
                  <c:v>0.72942322857838826</c:v>
                </c:pt>
                <c:pt idx="149">
                  <c:v>0.73114753520728559</c:v>
                </c:pt>
                <c:pt idx="150">
                  <c:v>0.73285341349170474</c:v>
                </c:pt>
                <c:pt idx="151">
                  <c:v>0.73454113137364396</c:v>
                </c:pt>
                <c:pt idx="152">
                  <c:v>0.73621095201477738</c:v>
                </c:pt>
                <c:pt idx="153">
                  <c:v>0.737863133893774</c:v>
                </c:pt>
                <c:pt idx="154">
                  <c:v>0.73949793090151905</c:v>
                </c:pt>
                <c:pt idx="155">
                  <c:v>0.74111559243428105</c:v>
                </c:pt>
                <c:pt idx="156">
                  <c:v>0.74271636348486902</c:v>
                </c:pt>
                <c:pt idx="157">
                  <c:v>0.74430048473181132</c:v>
                </c:pt>
                <c:pt idx="158">
                  <c:v>0.7458681926266103</c:v>
                </c:pt>
                <c:pt idx="159">
                  <c:v>0.74741971947909835</c:v>
                </c:pt>
                <c:pt idx="160">
                  <c:v>0.74895529354094381</c:v>
                </c:pt>
                <c:pt idx="161">
                  <c:v>0.75047513908734342</c:v>
                </c:pt>
                <c:pt idx="162">
                  <c:v>0.75197947649693897</c:v>
                </c:pt>
                <c:pt idx="163">
                  <c:v>0.75346852232999362</c:v>
                </c:pt>
                <c:pt idx="164">
                  <c:v>0.75494248940487119</c:v>
                </c:pt>
                <c:pt idx="165">
                  <c:v>0.75640158687284842</c:v>
                </c:pt>
                <c:pt idx="166">
                  <c:v>0.75784602029130088</c:v>
                </c:pt>
                <c:pt idx="167">
                  <c:v>0.75927599169529436</c:v>
                </c:pt>
                <c:pt idx="168">
                  <c:v>0.76069169966761996</c:v>
                </c:pt>
                <c:pt idx="169">
                  <c:v>0.76209333940730462</c:v>
                </c:pt>
                <c:pt idx="170">
                  <c:v>0.76348110279663017</c:v>
                </c:pt>
                <c:pt idx="171">
                  <c:v>0.76485517846669748</c:v>
                </c:pt>
                <c:pt idx="172">
                  <c:v>0.76621575186156365</c:v>
                </c:pt>
                <c:pt idx="173">
                  <c:v>0.76756300530098642</c:v>
                </c:pt>
                <c:pt idx="174">
                  <c:v>0.76889711804180649</c:v>
                </c:pt>
                <c:pt idx="175">
                  <c:v>0.77021826633799761</c:v>
                </c:pt>
                <c:pt idx="176">
                  <c:v>0.77152662349941548</c:v>
                </c:pt>
                <c:pt idx="177">
                  <c:v>0.77282235994927317</c:v>
                </c:pt>
                <c:pt idx="178">
                  <c:v>0.77410564328037335</c:v>
                </c:pt>
                <c:pt idx="179">
                  <c:v>0.77537663831012382</c:v>
                </c:pt>
                <c:pt idx="180">
                  <c:v>0.77663550713436469</c:v>
                </c:pt>
                <c:pt idx="181">
                  <c:v>0.77788240918003537</c:v>
                </c:pt>
                <c:pt idx="182">
                  <c:v>0.77911750125670409</c:v>
                </c:pt>
                <c:pt idx="183">
                  <c:v>0.78034093760698886</c:v>
                </c:pt>
                <c:pt idx="184">
                  <c:v>0.78155286995589679</c:v>
                </c:pt>
                <c:pt idx="185">
                  <c:v>0.78275344755909759</c:v>
                </c:pt>
                <c:pt idx="186">
                  <c:v>0.78394281725016912</c:v>
                </c:pt>
                <c:pt idx="187">
                  <c:v>0.78512112348682528</c:v>
                </c:pt>
                <c:pt idx="188">
                  <c:v>0.78628850839615683</c:v>
                </c:pt>
                <c:pt idx="189">
                  <c:v>0.78744511181890842</c:v>
                </c:pt>
                <c:pt idx="190">
                  <c:v>0.78859107135280604</c:v>
                </c:pt>
                <c:pt idx="191">
                  <c:v>0.78972652239496721</c:v>
                </c:pt>
                <c:pt idx="192">
                  <c:v>0.79085159818340611</c:v>
                </c:pt>
                <c:pt idx="193">
                  <c:v>0.79196642983765841</c:v>
                </c:pt>
                <c:pt idx="194">
                  <c:v>0.79307114639854515</c:v>
                </c:pt>
                <c:pt idx="195">
                  <c:v>0.79416587486709544</c:v>
                </c:pt>
                <c:pt idx="196">
                  <c:v>0.79525074024264752</c:v>
                </c:pt>
                <c:pt idx="197">
                  <c:v>0.79632586556014362</c:v>
                </c:pt>
                <c:pt idx="198">
                  <c:v>0.79739137192664389</c:v>
                </c:pt>
                <c:pt idx="199">
                  <c:v>0.79844737855706971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30-4555-9CD4-D2CE4EDAE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799983"/>
        <c:axId val="1162801903"/>
      </c:lineChart>
      <c:catAx>
        <c:axId val="11627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801903"/>
        <c:crosses val="autoZero"/>
        <c:auto val="1"/>
        <c:lblAlgn val="ctr"/>
        <c:lblOffset val="100"/>
        <c:noMultiLvlLbl val="0"/>
      </c:catAx>
      <c:valAx>
        <c:axId val="11628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9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Hill_Saturation!$S$2</c:f>
              <c:strCache>
                <c:ptCount val="1"/>
                <c:pt idx="0">
                  <c:v>yt_spend_lakhs_sat_50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Hill_Saturation!$E$3:$E$202</c:f>
              <c:numCache>
                <c:formatCode>General</c:formatCode>
                <c:ptCount val="200"/>
                <c:pt idx="0">
                  <c:v>0</c:v>
                </c:pt>
                <c:pt idx="1">
                  <c:v>0.12151274368183942</c:v>
                </c:pt>
                <c:pt idx="2">
                  <c:v>0.24302548736367885</c:v>
                </c:pt>
                <c:pt idx="3">
                  <c:v>0.3645382310455183</c:v>
                </c:pt>
                <c:pt idx="4">
                  <c:v>0.4860509747273577</c:v>
                </c:pt>
                <c:pt idx="5">
                  <c:v>0.6075637184091971</c:v>
                </c:pt>
                <c:pt idx="6">
                  <c:v>0.72907646209103649</c:v>
                </c:pt>
                <c:pt idx="7">
                  <c:v>0.85058920577287589</c:v>
                </c:pt>
                <c:pt idx="8">
                  <c:v>0.97210194945471529</c:v>
                </c:pt>
                <c:pt idx="9">
                  <c:v>1.0936146931365547</c:v>
                </c:pt>
                <c:pt idx="10">
                  <c:v>1.2151274368183942</c:v>
                </c:pt>
                <c:pt idx="11">
                  <c:v>1.3366401805002337</c:v>
                </c:pt>
                <c:pt idx="12">
                  <c:v>1.4581529241820732</c:v>
                </c:pt>
                <c:pt idx="13">
                  <c:v>1.5796656678639127</c:v>
                </c:pt>
                <c:pt idx="14">
                  <c:v>1.7011784115457522</c:v>
                </c:pt>
                <c:pt idx="15">
                  <c:v>1.8226911552275917</c:v>
                </c:pt>
                <c:pt idx="16">
                  <c:v>1.9442038989094312</c:v>
                </c:pt>
                <c:pt idx="17">
                  <c:v>2.0657166425912705</c:v>
                </c:pt>
                <c:pt idx="18">
                  <c:v>2.1872293862731098</c:v>
                </c:pt>
                <c:pt idx="19">
                  <c:v>2.3087421299549491</c:v>
                </c:pt>
                <c:pt idx="20">
                  <c:v>2.4302548736367884</c:v>
                </c:pt>
                <c:pt idx="21">
                  <c:v>2.5517676173186277</c:v>
                </c:pt>
                <c:pt idx="22">
                  <c:v>2.673280361000467</c:v>
                </c:pt>
                <c:pt idx="23">
                  <c:v>2.7947931046823062</c:v>
                </c:pt>
                <c:pt idx="24">
                  <c:v>2.9163058483641455</c:v>
                </c:pt>
                <c:pt idx="25">
                  <c:v>3.0378185920459848</c:v>
                </c:pt>
                <c:pt idx="26">
                  <c:v>3.1593313357278241</c:v>
                </c:pt>
                <c:pt idx="27">
                  <c:v>3.2808440794096634</c:v>
                </c:pt>
                <c:pt idx="28">
                  <c:v>3.4023568230915027</c:v>
                </c:pt>
                <c:pt idx="29">
                  <c:v>3.523869566773342</c:v>
                </c:pt>
                <c:pt idx="30">
                  <c:v>3.6453823104551812</c:v>
                </c:pt>
                <c:pt idx="31">
                  <c:v>3.7668950541370205</c:v>
                </c:pt>
                <c:pt idx="32">
                  <c:v>3.8884077978188598</c:v>
                </c:pt>
                <c:pt idx="33">
                  <c:v>4.0099205415006995</c:v>
                </c:pt>
                <c:pt idx="34">
                  <c:v>4.1314332851825393</c:v>
                </c:pt>
                <c:pt idx="35">
                  <c:v>4.252946028864379</c:v>
                </c:pt>
                <c:pt idx="36">
                  <c:v>4.3744587725462187</c:v>
                </c:pt>
                <c:pt idx="37">
                  <c:v>4.4959715162280585</c:v>
                </c:pt>
                <c:pt idx="38">
                  <c:v>4.6174842599098982</c:v>
                </c:pt>
                <c:pt idx="39">
                  <c:v>4.7389970035917379</c:v>
                </c:pt>
                <c:pt idx="40">
                  <c:v>4.8605097472735777</c:v>
                </c:pt>
                <c:pt idx="41">
                  <c:v>4.9820224909554174</c:v>
                </c:pt>
                <c:pt idx="42">
                  <c:v>5.1035352346372571</c:v>
                </c:pt>
                <c:pt idx="43">
                  <c:v>5.2250479783190968</c:v>
                </c:pt>
                <c:pt idx="44">
                  <c:v>5.3465607220009366</c:v>
                </c:pt>
                <c:pt idx="45">
                  <c:v>5.4680734656827763</c:v>
                </c:pt>
                <c:pt idx="46">
                  <c:v>5.589586209364616</c:v>
                </c:pt>
                <c:pt idx="47">
                  <c:v>5.7110989530464558</c:v>
                </c:pt>
                <c:pt idx="48">
                  <c:v>5.8326116967282955</c:v>
                </c:pt>
                <c:pt idx="49">
                  <c:v>5.9541244404101352</c:v>
                </c:pt>
                <c:pt idx="50">
                  <c:v>6.075637184091975</c:v>
                </c:pt>
                <c:pt idx="51">
                  <c:v>6.1971499277738147</c:v>
                </c:pt>
                <c:pt idx="52">
                  <c:v>6.3186626714556544</c:v>
                </c:pt>
                <c:pt idx="53">
                  <c:v>6.4401754151374941</c:v>
                </c:pt>
                <c:pt idx="54">
                  <c:v>6.5616881588193339</c:v>
                </c:pt>
                <c:pt idx="55">
                  <c:v>6.6832009025011736</c:v>
                </c:pt>
                <c:pt idx="56">
                  <c:v>6.8047136461830133</c:v>
                </c:pt>
                <c:pt idx="57">
                  <c:v>6.9262263898648531</c:v>
                </c:pt>
                <c:pt idx="58">
                  <c:v>7.0477391335466928</c:v>
                </c:pt>
                <c:pt idx="59">
                  <c:v>7.1692518772285325</c:v>
                </c:pt>
                <c:pt idx="60">
                  <c:v>7.2907646209103723</c:v>
                </c:pt>
                <c:pt idx="61">
                  <c:v>7.412277364592212</c:v>
                </c:pt>
                <c:pt idx="62">
                  <c:v>7.5337901082740517</c:v>
                </c:pt>
                <c:pt idx="63">
                  <c:v>7.6553028519558914</c:v>
                </c:pt>
                <c:pt idx="64">
                  <c:v>7.7768155956377312</c:v>
                </c:pt>
                <c:pt idx="65">
                  <c:v>7.8983283393195709</c:v>
                </c:pt>
                <c:pt idx="66">
                  <c:v>8.0198410830014097</c:v>
                </c:pt>
                <c:pt idx="67">
                  <c:v>8.1413538266832486</c:v>
                </c:pt>
                <c:pt idx="68">
                  <c:v>8.2628665703650874</c:v>
                </c:pt>
                <c:pt idx="69">
                  <c:v>8.3843793140469263</c:v>
                </c:pt>
                <c:pt idx="70">
                  <c:v>8.5058920577287651</c:v>
                </c:pt>
                <c:pt idx="71">
                  <c:v>8.627404801410604</c:v>
                </c:pt>
                <c:pt idx="72">
                  <c:v>8.7489175450924428</c:v>
                </c:pt>
                <c:pt idx="73">
                  <c:v>8.8704302887742816</c:v>
                </c:pt>
                <c:pt idx="74">
                  <c:v>8.9919430324561205</c:v>
                </c:pt>
                <c:pt idx="75">
                  <c:v>9.1134557761379593</c:v>
                </c:pt>
                <c:pt idx="76">
                  <c:v>9.2349685198197982</c:v>
                </c:pt>
                <c:pt idx="77">
                  <c:v>9.356481263501637</c:v>
                </c:pt>
                <c:pt idx="78">
                  <c:v>9.4779940071834758</c:v>
                </c:pt>
                <c:pt idx="79">
                  <c:v>9.5995067508653147</c:v>
                </c:pt>
                <c:pt idx="80">
                  <c:v>9.7210194945471535</c:v>
                </c:pt>
                <c:pt idx="81">
                  <c:v>9.8425322382289924</c:v>
                </c:pt>
                <c:pt idx="82">
                  <c:v>9.9640449819108312</c:v>
                </c:pt>
                <c:pt idx="83">
                  <c:v>10.08555772559267</c:v>
                </c:pt>
                <c:pt idx="84">
                  <c:v>10.207070469274509</c:v>
                </c:pt>
                <c:pt idx="85">
                  <c:v>10.328583212956348</c:v>
                </c:pt>
                <c:pt idx="86">
                  <c:v>10.450095956638187</c:v>
                </c:pt>
                <c:pt idx="87">
                  <c:v>10.571608700320025</c:v>
                </c:pt>
                <c:pt idx="88">
                  <c:v>10.693121444001864</c:v>
                </c:pt>
                <c:pt idx="89">
                  <c:v>10.814634187683703</c:v>
                </c:pt>
                <c:pt idx="90">
                  <c:v>10.936146931365542</c:v>
                </c:pt>
                <c:pt idx="91">
                  <c:v>11.057659675047381</c:v>
                </c:pt>
                <c:pt idx="92">
                  <c:v>11.17917241872922</c:v>
                </c:pt>
                <c:pt idx="93">
                  <c:v>11.300685162411058</c:v>
                </c:pt>
                <c:pt idx="94">
                  <c:v>11.422197906092897</c:v>
                </c:pt>
                <c:pt idx="95">
                  <c:v>11.543710649774736</c:v>
                </c:pt>
                <c:pt idx="96">
                  <c:v>11.665223393456575</c:v>
                </c:pt>
                <c:pt idx="97">
                  <c:v>11.786736137138414</c:v>
                </c:pt>
                <c:pt idx="98">
                  <c:v>11.908248880820253</c:v>
                </c:pt>
                <c:pt idx="99">
                  <c:v>12.029761624502092</c:v>
                </c:pt>
                <c:pt idx="100">
                  <c:v>12.15127436818393</c:v>
                </c:pt>
                <c:pt idx="101">
                  <c:v>12.272787111865769</c:v>
                </c:pt>
                <c:pt idx="102">
                  <c:v>12.394299855547608</c:v>
                </c:pt>
                <c:pt idx="103">
                  <c:v>12.515812599229447</c:v>
                </c:pt>
                <c:pt idx="104">
                  <c:v>12.637325342911286</c:v>
                </c:pt>
                <c:pt idx="105">
                  <c:v>12.758838086593125</c:v>
                </c:pt>
                <c:pt idx="106">
                  <c:v>12.880350830274963</c:v>
                </c:pt>
                <c:pt idx="107">
                  <c:v>13.001863573956802</c:v>
                </c:pt>
                <c:pt idx="108">
                  <c:v>13.123376317638641</c:v>
                </c:pt>
                <c:pt idx="109">
                  <c:v>13.24488906132048</c:v>
                </c:pt>
                <c:pt idx="110">
                  <c:v>13.366401805002319</c:v>
                </c:pt>
                <c:pt idx="111">
                  <c:v>13.487914548684158</c:v>
                </c:pt>
                <c:pt idx="112">
                  <c:v>13.609427292365996</c:v>
                </c:pt>
                <c:pt idx="113">
                  <c:v>13.730940036047835</c:v>
                </c:pt>
                <c:pt idx="114">
                  <c:v>13.852452779729674</c:v>
                </c:pt>
                <c:pt idx="115">
                  <c:v>13.973965523411513</c:v>
                </c:pt>
                <c:pt idx="116">
                  <c:v>14.095478267093352</c:v>
                </c:pt>
                <c:pt idx="117">
                  <c:v>14.216991010775191</c:v>
                </c:pt>
                <c:pt idx="118">
                  <c:v>14.33850375445703</c:v>
                </c:pt>
                <c:pt idx="119">
                  <c:v>14.460016498138868</c:v>
                </c:pt>
                <c:pt idx="120">
                  <c:v>14.581529241820707</c:v>
                </c:pt>
                <c:pt idx="121">
                  <c:v>14.703041985502546</c:v>
                </c:pt>
                <c:pt idx="122">
                  <c:v>14.824554729184385</c:v>
                </c:pt>
                <c:pt idx="123">
                  <c:v>14.946067472866224</c:v>
                </c:pt>
                <c:pt idx="124">
                  <c:v>15.067580216548063</c:v>
                </c:pt>
                <c:pt idx="125">
                  <c:v>15.189092960229901</c:v>
                </c:pt>
                <c:pt idx="126">
                  <c:v>15.31060570391174</c:v>
                </c:pt>
                <c:pt idx="127">
                  <c:v>15.432118447593579</c:v>
                </c:pt>
                <c:pt idx="128">
                  <c:v>15.553631191275418</c:v>
                </c:pt>
                <c:pt idx="129">
                  <c:v>15.675143934957257</c:v>
                </c:pt>
                <c:pt idx="130">
                  <c:v>15.796656678639096</c:v>
                </c:pt>
                <c:pt idx="131">
                  <c:v>15.918169422320934</c:v>
                </c:pt>
                <c:pt idx="132">
                  <c:v>16.039682166002773</c:v>
                </c:pt>
                <c:pt idx="133">
                  <c:v>16.161194909684614</c:v>
                </c:pt>
                <c:pt idx="134">
                  <c:v>16.282707653366455</c:v>
                </c:pt>
                <c:pt idx="135">
                  <c:v>16.404220397048295</c:v>
                </c:pt>
                <c:pt idx="136">
                  <c:v>16.525733140730136</c:v>
                </c:pt>
                <c:pt idx="137">
                  <c:v>16.647245884411976</c:v>
                </c:pt>
                <c:pt idx="138">
                  <c:v>16.768758628093817</c:v>
                </c:pt>
                <c:pt idx="139">
                  <c:v>16.890271371775658</c:v>
                </c:pt>
                <c:pt idx="140">
                  <c:v>17.011784115457498</c:v>
                </c:pt>
                <c:pt idx="141">
                  <c:v>17.133296859139339</c:v>
                </c:pt>
                <c:pt idx="142">
                  <c:v>17.254809602821179</c:v>
                </c:pt>
                <c:pt idx="143">
                  <c:v>17.37632234650302</c:v>
                </c:pt>
                <c:pt idx="144">
                  <c:v>17.497835090184861</c:v>
                </c:pt>
                <c:pt idx="145">
                  <c:v>17.619347833866701</c:v>
                </c:pt>
                <c:pt idx="146">
                  <c:v>17.740860577548542</c:v>
                </c:pt>
                <c:pt idx="147">
                  <c:v>17.862373321230383</c:v>
                </c:pt>
                <c:pt idx="148">
                  <c:v>17.983886064912223</c:v>
                </c:pt>
                <c:pt idx="149">
                  <c:v>18.105398808594064</c:v>
                </c:pt>
                <c:pt idx="150">
                  <c:v>18.226911552275904</c:v>
                </c:pt>
                <c:pt idx="151">
                  <c:v>18.348424295957745</c:v>
                </c:pt>
                <c:pt idx="152">
                  <c:v>18.469937039639586</c:v>
                </c:pt>
                <c:pt idx="153">
                  <c:v>18.591449783321426</c:v>
                </c:pt>
                <c:pt idx="154">
                  <c:v>18.712962527003267</c:v>
                </c:pt>
                <c:pt idx="155">
                  <c:v>18.834475270685108</c:v>
                </c:pt>
                <c:pt idx="156">
                  <c:v>18.955988014366948</c:v>
                </c:pt>
                <c:pt idx="157">
                  <c:v>19.077500758048789</c:v>
                </c:pt>
                <c:pt idx="158">
                  <c:v>19.199013501730629</c:v>
                </c:pt>
                <c:pt idx="159">
                  <c:v>19.32052624541247</c:v>
                </c:pt>
                <c:pt idx="160">
                  <c:v>19.442038989094311</c:v>
                </c:pt>
                <c:pt idx="161">
                  <c:v>19.563551732776151</c:v>
                </c:pt>
                <c:pt idx="162">
                  <c:v>19.685064476457992</c:v>
                </c:pt>
                <c:pt idx="163">
                  <c:v>19.806577220139832</c:v>
                </c:pt>
                <c:pt idx="164">
                  <c:v>19.928089963821673</c:v>
                </c:pt>
                <c:pt idx="165">
                  <c:v>20.049602707503514</c:v>
                </c:pt>
                <c:pt idx="166">
                  <c:v>20.171115451185354</c:v>
                </c:pt>
                <c:pt idx="167">
                  <c:v>20.292628194867195</c:v>
                </c:pt>
                <c:pt idx="168">
                  <c:v>20.414140938549036</c:v>
                </c:pt>
                <c:pt idx="169">
                  <c:v>20.535653682230876</c:v>
                </c:pt>
                <c:pt idx="170">
                  <c:v>20.657166425912717</c:v>
                </c:pt>
                <c:pt idx="171">
                  <c:v>20.778679169594557</c:v>
                </c:pt>
                <c:pt idx="172">
                  <c:v>20.900191913276398</c:v>
                </c:pt>
                <c:pt idx="173">
                  <c:v>21.021704656958239</c:v>
                </c:pt>
                <c:pt idx="174">
                  <c:v>21.143217400640079</c:v>
                </c:pt>
                <c:pt idx="175">
                  <c:v>21.26473014432192</c:v>
                </c:pt>
                <c:pt idx="176">
                  <c:v>21.38624288800376</c:v>
                </c:pt>
                <c:pt idx="177">
                  <c:v>21.507755631685601</c:v>
                </c:pt>
                <c:pt idx="178">
                  <c:v>21.629268375367442</c:v>
                </c:pt>
                <c:pt idx="179">
                  <c:v>21.750781119049282</c:v>
                </c:pt>
                <c:pt idx="180">
                  <c:v>21.872293862731123</c:v>
                </c:pt>
                <c:pt idx="181">
                  <c:v>21.993806606412964</c:v>
                </c:pt>
                <c:pt idx="182">
                  <c:v>22.115319350094804</c:v>
                </c:pt>
                <c:pt idx="183">
                  <c:v>22.236832093776645</c:v>
                </c:pt>
                <c:pt idx="184">
                  <c:v>22.358344837458485</c:v>
                </c:pt>
                <c:pt idx="185">
                  <c:v>22.479857581140326</c:v>
                </c:pt>
                <c:pt idx="186">
                  <c:v>22.601370324822167</c:v>
                </c:pt>
                <c:pt idx="187">
                  <c:v>22.722883068504007</c:v>
                </c:pt>
                <c:pt idx="188">
                  <c:v>22.844395812185848</c:v>
                </c:pt>
                <c:pt idx="189">
                  <c:v>22.965908555867689</c:v>
                </c:pt>
                <c:pt idx="190">
                  <c:v>23.087421299549529</c:v>
                </c:pt>
                <c:pt idx="191">
                  <c:v>23.20893404323137</c:v>
                </c:pt>
                <c:pt idx="192">
                  <c:v>23.33044678691321</c:v>
                </c:pt>
                <c:pt idx="193">
                  <c:v>23.451959530595051</c:v>
                </c:pt>
                <c:pt idx="194">
                  <c:v>23.573472274276892</c:v>
                </c:pt>
                <c:pt idx="195">
                  <c:v>23.694985017958732</c:v>
                </c:pt>
                <c:pt idx="196">
                  <c:v>23.816497761640573</c:v>
                </c:pt>
                <c:pt idx="197">
                  <c:v>23.938010505322413</c:v>
                </c:pt>
                <c:pt idx="198">
                  <c:v>24.059523249004254</c:v>
                </c:pt>
                <c:pt idx="199">
                  <c:v>24.181035992686095</c:v>
                </c:pt>
              </c:numCache>
            </c:numRef>
          </c:cat>
          <c:val>
            <c:numRef>
              <c:f>Hill_Saturation!$S$3:$S$202</c:f>
              <c:numCache>
                <c:formatCode>General</c:formatCode>
                <c:ptCount val="200"/>
                <c:pt idx="0">
                  <c:v>0</c:v>
                </c:pt>
                <c:pt idx="1">
                  <c:v>5.9622607426754338E-3</c:v>
                </c:pt>
                <c:pt idx="2">
                  <c:v>1.4553918977988557E-2</c:v>
                </c:pt>
                <c:pt idx="3">
                  <c:v>2.4408096427402985E-2</c:v>
                </c:pt>
                <c:pt idx="4">
                  <c:v>3.5089182931242968E-2</c:v>
                </c:pt>
                <c:pt idx="5">
                  <c:v>4.6350852099725781E-2</c:v>
                </c:pt>
                <c:pt idx="6">
                  <c:v>5.8028642970222963E-2</c:v>
                </c:pt>
                <c:pt idx="7">
                  <c:v>7.0003065833899425E-2</c:v>
                </c:pt>
                <c:pt idx="8">
                  <c:v>8.2182857884777236E-2</c:v>
                </c:pt>
                <c:pt idx="9">
                  <c:v>9.4496059480497718E-2</c:v>
                </c:pt>
                <c:pt idx="10">
                  <c:v>0.10688471725947078</c:v>
                </c:pt>
                <c:pt idx="11">
                  <c:v>0.11930148426986686</c:v>
                </c:pt>
                <c:pt idx="12">
                  <c:v>0.13170730385439872</c:v>
                </c:pt>
                <c:pt idx="13">
                  <c:v>0.14406975640883671</c:v>
                </c:pt>
                <c:pt idx="14">
                  <c:v>0.15636183440926693</c:v>
                </c:pt>
                <c:pt idx="15">
                  <c:v>0.16856100690860412</c:v>
                </c:pt>
                <c:pt idx="16">
                  <c:v>0.18064848724273999</c:v>
                </c:pt>
                <c:pt idx="17">
                  <c:v>0.19260864806280906</c:v>
                </c:pt>
                <c:pt idx="18">
                  <c:v>0.20442854617054992</c:v>
                </c:pt>
                <c:pt idx="19">
                  <c:v>0.21609753116266622</c:v>
                </c:pt>
                <c:pt idx="20">
                  <c:v>0.22760691937364866</c:v>
                </c:pt>
                <c:pt idx="21">
                  <c:v>0.23894971960861888</c:v>
                </c:pt>
                <c:pt idx="22">
                  <c:v>0.25012040058987922</c:v>
                </c:pt>
                <c:pt idx="23">
                  <c:v>0.26111469245199792</c:v>
                </c:pt>
                <c:pt idx="24">
                  <c:v>0.27192941635086942</c:v>
                </c:pt>
                <c:pt idx="25">
                  <c:v>0.28256233751895138</c:v>
                </c:pt>
                <c:pt idx="26">
                  <c:v>0.29301203804294856</c:v>
                </c:pt>
                <c:pt idx="27">
                  <c:v>0.30327780635554907</c:v>
                </c:pt>
                <c:pt idx="28">
                  <c:v>0.3133595409831616</c:v>
                </c:pt>
                <c:pt idx="29">
                  <c:v>0.32325766652099452</c:v>
                </c:pt>
                <c:pt idx="30">
                  <c:v>0.3329730601461896</c:v>
                </c:pt>
                <c:pt idx="31">
                  <c:v>0.34250698725113748</c:v>
                </c:pt>
                <c:pt idx="32">
                  <c:v>0.35186104499852994</c:v>
                </c:pt>
                <c:pt idx="33">
                  <c:v>0.36103711277886041</c:v>
                </c:pt>
                <c:pt idx="34">
                  <c:v>0.37003730869868079</c:v>
                </c:pt>
                <c:pt idx="35">
                  <c:v>0.37886395135050993</c:v>
                </c:pt>
                <c:pt idx="36">
                  <c:v>0.38751952621786595</c:v>
                </c:pt>
                <c:pt idx="37">
                  <c:v>0.39600665615528508</c:v>
                </c:pt>
                <c:pt idx="38">
                  <c:v>0.40432807545640786</c:v>
                </c:pt>
                <c:pt idx="39">
                  <c:v>0.41248660708557744</c:v>
                </c:pt>
                <c:pt idx="40">
                  <c:v>0.42048514270179765</c:v>
                </c:pt>
                <c:pt idx="41">
                  <c:v>0.42832662514980963</c:v>
                </c:pt>
                <c:pt idx="42">
                  <c:v>0.43601403313267689</c:v>
                </c:pt>
                <c:pt idx="43">
                  <c:v>0.4435503678146076</c:v>
                </c:pt>
                <c:pt idx="44">
                  <c:v>0.4509386411325737</c:v>
                </c:pt>
                <c:pt idx="45">
                  <c:v>0.45818186562129454</c:v>
                </c:pt>
                <c:pt idx="46">
                  <c:v>0.46528304557887068</c:v>
                </c:pt>
                <c:pt idx="47">
                  <c:v>0.47224516942025085</c:v>
                </c:pt>
                <c:pt idx="48">
                  <c:v>0.47907120308318024</c:v>
                </c:pt>
                <c:pt idx="49">
                  <c:v>0.48576408436663371</c:v>
                </c:pt>
                <c:pt idx="50">
                  <c:v>0.49232671809525663</c:v>
                </c:pt>
                <c:pt idx="51">
                  <c:v>0.49876197201527672</c:v>
                </c:pt>
                <c:pt idx="52">
                  <c:v>0.50507267333787997</c:v>
                </c:pt>
                <c:pt idx="53">
                  <c:v>0.51126160585537639</c:v>
                </c:pt>
                <c:pt idx="54">
                  <c:v>0.51733150756373025</c:v>
                </c:pt>
                <c:pt idx="55">
                  <c:v>0.52328506873235658</c:v>
                </c:pt>
                <c:pt idx="56">
                  <c:v>0.52912493036857611</c:v>
                </c:pt>
                <c:pt idx="57">
                  <c:v>0.53485368302989345</c:v>
                </c:pt>
                <c:pt idx="58">
                  <c:v>0.54047386594239311</c:v>
                </c:pt>
                <c:pt idx="59">
                  <c:v>0.54598796638810565</c:v>
                </c:pt>
                <c:pt idx="60">
                  <c:v>0.55139841932826616</c:v>
                </c:pt>
                <c:pt idx="61">
                  <c:v>0.55670760723299628</c:v>
                </c:pt>
                <c:pt idx="62">
                  <c:v>0.56191786009117195</c:v>
                </c:pt>
                <c:pt idx="63">
                  <c:v>0.56703145557711143</c:v>
                </c:pt>
                <c:pt idx="64">
                  <c:v>0.57205061935328316</c:v>
                </c:pt>
                <c:pt idx="65">
                  <c:v>0.57697752549052284</c:v>
                </c:pt>
                <c:pt idx="66">
                  <c:v>0.58181429698929443</c:v>
                </c:pt>
                <c:pt idx="67">
                  <c:v>0.5865630063873486</c:v>
                </c:pt>
                <c:pt idx="68">
                  <c:v>0.59122567644077317</c:v>
                </c:pt>
                <c:pt idx="69">
                  <c:v>0.59580428086687498</c:v>
                </c:pt>
                <c:pt idx="70">
                  <c:v>0.60030074513864573</c:v>
                </c:pt>
                <c:pt idx="71">
                  <c:v>0.60471694732171755</c:v>
                </c:pt>
                <c:pt idx="72">
                  <c:v>0.6090547189457628</c:v>
                </c:pt>
                <c:pt idx="73">
                  <c:v>0.61331584590321886</c:v>
                </c:pt>
                <c:pt idx="74">
                  <c:v>0.61750206936904495</c:v>
                </c:pt>
                <c:pt idx="75">
                  <c:v>0.62161508673597277</c:v>
                </c:pt>
                <c:pt idx="76">
                  <c:v>0.62565655256036379</c:v>
                </c:pt>
                <c:pt idx="77">
                  <c:v>0.62962807951438837</c:v>
                </c:pt>
                <c:pt idx="78">
                  <c:v>0.63353123934076871</c:v>
                </c:pt>
                <c:pt idx="79">
                  <c:v>0.63736756380679926</c:v>
                </c:pt>
                <c:pt idx="80">
                  <c:v>0.64113854565478789</c:v>
                </c:pt>
                <c:pt idx="81">
                  <c:v>0.64484563954642815</c:v>
                </c:pt>
                <c:pt idx="82">
                  <c:v>0.64849026299895995</c:v>
                </c:pt>
                <c:pt idx="83">
                  <c:v>0.65207379731127069</c:v>
                </c:pt>
                <c:pt idx="84">
                  <c:v>0.65559758847835714</c:v>
                </c:pt>
                <c:pt idx="85">
                  <c:v>0.65906294809280686</c:v>
                </c:pt>
                <c:pt idx="86">
                  <c:v>0.66247115423217051</c:v>
                </c:pt>
                <c:pt idx="87">
                  <c:v>0.6658234523312867</c:v>
                </c:pt>
                <c:pt idx="88">
                  <c:v>0.66912105603878191</c:v>
                </c:pt>
                <c:pt idx="89">
                  <c:v>0.67236514805712577</c:v>
                </c:pt>
                <c:pt idx="90">
                  <c:v>0.67555688096574396</c:v>
                </c:pt>
                <c:pt idx="91">
                  <c:v>0.67869737802681707</c:v>
                </c:pt>
                <c:pt idx="92">
                  <c:v>0.68178773397348424</c:v>
                </c:pt>
                <c:pt idx="93">
                  <c:v>0.68482901578027722</c:v>
                </c:pt>
                <c:pt idx="94">
                  <c:v>0.68782226341567043</c:v>
                </c:pt>
                <c:pt idx="95">
                  <c:v>0.69076849057672118</c:v>
                </c:pt>
                <c:pt idx="96">
                  <c:v>0.69366868540582205</c:v>
                </c:pt>
                <c:pt idx="97">
                  <c:v>0.69652381118964524</c:v>
                </c:pt>
                <c:pt idx="98">
                  <c:v>0.69933480704040918</c:v>
                </c:pt>
                <c:pt idx="99">
                  <c:v>0.70210258855962537</c:v>
                </c:pt>
                <c:pt idx="100">
                  <c:v>0.70482804848453484</c:v>
                </c:pt>
                <c:pt idx="101">
                  <c:v>0.70751205731745692</c:v>
                </c:pt>
                <c:pt idx="102">
                  <c:v>0.71015546393830598</c:v>
                </c:pt>
                <c:pt idx="103">
                  <c:v>0.71275909620055578</c:v>
                </c:pt>
                <c:pt idx="104">
                  <c:v>0.71532376151093613</c:v>
                </c:pt>
                <c:pt idx="105">
                  <c:v>0.71785024739317749</c:v>
                </c:pt>
                <c:pt idx="106">
                  <c:v>0.72033932203611417</c:v>
                </c:pt>
                <c:pt idx="107">
                  <c:v>0.72279173482647929</c:v>
                </c:pt>
                <c:pt idx="108">
                  <c:v>0.7252082168667211</c:v>
                </c:pt>
                <c:pt idx="109">
                  <c:v>0.72758948147818336</c:v>
                </c:pt>
                <c:pt idx="110">
                  <c:v>0.72993622468998831</c:v>
                </c:pt>
                <c:pt idx="111">
                  <c:v>0.7322491257139695</c:v>
                </c:pt>
                <c:pt idx="112">
                  <c:v>0.73452884740599611</c:v>
                </c:pt>
                <c:pt idx="113">
                  <c:v>0.73677603671403169</c:v>
                </c:pt>
                <c:pt idx="114">
                  <c:v>0.73899132511327248</c:v>
                </c:pt>
                <c:pt idx="115">
                  <c:v>0.74117532902869854</c:v>
                </c:pt>
                <c:pt idx="116">
                  <c:v>0.74332865024537909</c:v>
                </c:pt>
                <c:pt idx="117">
                  <c:v>0.74545187630685827</c:v>
                </c:pt>
                <c:pt idx="118">
                  <c:v>0.74754558090194989</c:v>
                </c:pt>
                <c:pt idx="119">
                  <c:v>0.74961032424026586</c:v>
                </c:pt>
                <c:pt idx="120">
                  <c:v>0.7516466534167876</c:v>
                </c:pt>
                <c:pt idx="121">
                  <c:v>0.75365510276579784</c:v>
                </c:pt>
                <c:pt idx="122">
                  <c:v>0.75563619420447203</c:v>
                </c:pt>
                <c:pt idx="123">
                  <c:v>0.75759043756643063</c:v>
                </c:pt>
                <c:pt idx="124">
                  <c:v>0.75951833092554033</c:v>
                </c:pt>
                <c:pt idx="125">
                  <c:v>0.761420360910254</c:v>
                </c:pt>
                <c:pt idx="126">
                  <c:v>0.76329700300876158</c:v>
                </c:pt>
                <c:pt idx="127">
                  <c:v>0.76514872186522997</c:v>
                </c:pt>
                <c:pt idx="128">
                  <c:v>0.76697597156739072</c:v>
                </c:pt>
                <c:pt idx="129">
                  <c:v>0.76877919592573818</c:v>
                </c:pt>
                <c:pt idx="130">
                  <c:v>0.77055882874458748</c:v>
                </c:pt>
                <c:pt idx="131">
                  <c:v>0.77231529408523658</c:v>
                </c:pt>
                <c:pt idx="132">
                  <c:v>0.77404900652147279</c:v>
                </c:pt>
                <c:pt idx="133">
                  <c:v>0.7757603713876523</c:v>
                </c:pt>
                <c:pt idx="134">
                  <c:v>0.77744978501958051</c:v>
                </c:pt>
                <c:pt idx="135">
                  <c:v>0.77911763498841025</c:v>
                </c:pt>
                <c:pt idx="136">
                  <c:v>0.78076430032777155</c:v>
                </c:pt>
                <c:pt idx="137">
                  <c:v>0.78239015175433813</c:v>
                </c:pt>
                <c:pt idx="138">
                  <c:v>0.78399555188203196</c:v>
                </c:pt>
                <c:pt idx="139">
                  <c:v>0.7855808554300604</c:v>
                </c:pt>
                <c:pt idx="140">
                  <c:v>0.7871464094249726</c:v>
                </c:pt>
                <c:pt idx="141">
                  <c:v>0.78869255339692179</c:v>
                </c:pt>
                <c:pt idx="142">
                  <c:v>0.79021961957030717</c:v>
                </c:pt>
                <c:pt idx="143">
                  <c:v>0.79172793304896949</c:v>
                </c:pt>
                <c:pt idx="144">
                  <c:v>0.79321781199610719</c:v>
                </c:pt>
                <c:pt idx="145">
                  <c:v>0.79468956780907452</c:v>
                </c:pt>
                <c:pt idx="146">
                  <c:v>0.79614350528921729</c:v>
                </c:pt>
                <c:pt idx="147">
                  <c:v>0.79757992280689993</c:v>
                </c:pt>
                <c:pt idx="148">
                  <c:v>0.7989991124618705</c:v>
                </c:pt>
                <c:pt idx="149">
                  <c:v>0.80040136023910402</c:v>
                </c:pt>
                <c:pt idx="150">
                  <c:v>0.80178694616026647</c:v>
                </c:pt>
                <c:pt idx="151">
                  <c:v>0.80315614443092898</c:v>
                </c:pt>
                <c:pt idx="152">
                  <c:v>0.80450922358366406</c:v>
                </c:pt>
                <c:pt idx="153">
                  <c:v>0.80584644661714977</c:v>
                </c:pt>
                <c:pt idx="154">
                  <c:v>0.80716807113139988</c:v>
                </c:pt>
                <c:pt idx="155">
                  <c:v>0.80847434945924379</c:v>
                </c:pt>
                <c:pt idx="156">
                  <c:v>0.80976552879416286</c:v>
                </c:pt>
                <c:pt idx="157">
                  <c:v>0.81104185131460005</c:v>
                </c:pt>
                <c:pt idx="158">
                  <c:v>0.81230355430484458</c:v>
                </c:pt>
                <c:pt idx="159">
                  <c:v>0.81355087027259876</c:v>
                </c:pt>
                <c:pt idx="160">
                  <c:v>0.81478402706332376</c:v>
                </c:pt>
                <c:pt idx="161">
                  <c:v>0.81600324797146595</c:v>
                </c:pt>
                <c:pt idx="162">
                  <c:v>0.81720875184865049</c:v>
                </c:pt>
                <c:pt idx="163">
                  <c:v>0.81840075320894146</c:v>
                </c:pt>
                <c:pt idx="164">
                  <c:v>0.81957946233124968</c:v>
                </c:pt>
                <c:pt idx="165">
                  <c:v>0.82074508535897639</c:v>
                </c:pt>
                <c:pt idx="166">
                  <c:v>0.82189782439697645</c:v>
                </c:pt>
                <c:pt idx="167">
                  <c:v>0.82303787760591618</c:v>
                </c:pt>
                <c:pt idx="168">
                  <c:v>0.82416543929411001</c:v>
                </c:pt>
                <c:pt idx="169">
                  <c:v>0.82528070000690401</c:v>
                </c:pt>
                <c:pt idx="170">
                  <c:v>0.82638384661368303</c:v>
                </c:pt>
                <c:pt idx="171">
                  <c:v>0.82747506239257052</c:v>
                </c:pt>
                <c:pt idx="172">
                  <c:v>0.82855452711288846</c:v>
                </c:pt>
                <c:pt idx="173">
                  <c:v>0.82962241711544316</c:v>
                </c:pt>
                <c:pt idx="174">
                  <c:v>0.83067890539070177</c:v>
                </c:pt>
                <c:pt idx="175">
                  <c:v>0.83172416165492047</c:v>
                </c:pt>
                <c:pt idx="176">
                  <c:v>0.83275835242428264</c:v>
                </c:pt>
                <c:pt idx="177">
                  <c:v>0.83378164108710795</c:v>
                </c:pt>
                <c:pt idx="178">
                  <c:v>0.8347941879741867</c:v>
                </c:pt>
                <c:pt idx="179">
                  <c:v>0.83579615042729183</c:v>
                </c:pt>
                <c:pt idx="180">
                  <c:v>0.83678768286592597</c:v>
                </c:pt>
                <c:pt idx="181">
                  <c:v>0.83776893685234821</c:v>
                </c:pt>
                <c:pt idx="182">
                  <c:v>0.83874006115493716</c:v>
                </c:pt>
                <c:pt idx="183">
                  <c:v>0.83970120180993091</c:v>
                </c:pt>
                <c:pt idx="184">
                  <c:v>0.84065250218159526</c:v>
                </c:pt>
                <c:pt idx="185">
                  <c:v>0.84159410302086324</c:v>
                </c:pt>
                <c:pt idx="186">
                  <c:v>0.84252614252248892</c:v>
                </c:pt>
                <c:pt idx="187">
                  <c:v>0.84344875638075834</c:v>
                </c:pt>
                <c:pt idx="188">
                  <c:v>0.8443620778437998</c:v>
                </c:pt>
                <c:pt idx="189">
                  <c:v>0.84526623776652865</c:v>
                </c:pt>
                <c:pt idx="190">
                  <c:v>0.84616136466227043</c:v>
                </c:pt>
                <c:pt idx="191">
                  <c:v>0.84704758475309627</c:v>
                </c:pt>
                <c:pt idx="192">
                  <c:v>0.84792502201890618</c:v>
                </c:pt>
                <c:pt idx="193">
                  <c:v>0.84879379824529699</c:v>
                </c:pt>
                <c:pt idx="194">
                  <c:v>0.84965403307024856</c:v>
                </c:pt>
                <c:pt idx="195">
                  <c:v>0.85050584402965967</c:v>
                </c:pt>
                <c:pt idx="196">
                  <c:v>0.85134934660176642</c:v>
                </c:pt>
                <c:pt idx="197">
                  <c:v>0.85218465425047374</c:v>
                </c:pt>
                <c:pt idx="198">
                  <c:v>0.85301187846763116</c:v>
                </c:pt>
                <c:pt idx="199">
                  <c:v>0.85383112881427836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B-4470-8DE4-E77911CF81A2}"/>
            </c:ext>
          </c:extLst>
        </c:ser>
        <c:ser>
          <c:idx val="1"/>
          <c:order val="1"/>
          <c:tx>
            <c:strRef>
              <c:f>Hill_Saturation!$T$2</c:f>
              <c:strCache>
                <c:ptCount val="1"/>
                <c:pt idx="0">
                  <c:v>yt_spend_lakhs_sat_60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Hill_Saturation!$E$3:$E$202</c:f>
              <c:numCache>
                <c:formatCode>General</c:formatCode>
                <c:ptCount val="200"/>
                <c:pt idx="0">
                  <c:v>0</c:v>
                </c:pt>
                <c:pt idx="1">
                  <c:v>0.12151274368183942</c:v>
                </c:pt>
                <c:pt idx="2">
                  <c:v>0.24302548736367885</c:v>
                </c:pt>
                <c:pt idx="3">
                  <c:v>0.3645382310455183</c:v>
                </c:pt>
                <c:pt idx="4">
                  <c:v>0.4860509747273577</c:v>
                </c:pt>
                <c:pt idx="5">
                  <c:v>0.6075637184091971</c:v>
                </c:pt>
                <c:pt idx="6">
                  <c:v>0.72907646209103649</c:v>
                </c:pt>
                <c:pt idx="7">
                  <c:v>0.85058920577287589</c:v>
                </c:pt>
                <c:pt idx="8">
                  <c:v>0.97210194945471529</c:v>
                </c:pt>
                <c:pt idx="9">
                  <c:v>1.0936146931365547</c:v>
                </c:pt>
                <c:pt idx="10">
                  <c:v>1.2151274368183942</c:v>
                </c:pt>
                <c:pt idx="11">
                  <c:v>1.3366401805002337</c:v>
                </c:pt>
                <c:pt idx="12">
                  <c:v>1.4581529241820732</c:v>
                </c:pt>
                <c:pt idx="13">
                  <c:v>1.5796656678639127</c:v>
                </c:pt>
                <c:pt idx="14">
                  <c:v>1.7011784115457522</c:v>
                </c:pt>
                <c:pt idx="15">
                  <c:v>1.8226911552275917</c:v>
                </c:pt>
                <c:pt idx="16">
                  <c:v>1.9442038989094312</c:v>
                </c:pt>
                <c:pt idx="17">
                  <c:v>2.0657166425912705</c:v>
                </c:pt>
                <c:pt idx="18">
                  <c:v>2.1872293862731098</c:v>
                </c:pt>
                <c:pt idx="19">
                  <c:v>2.3087421299549491</c:v>
                </c:pt>
                <c:pt idx="20">
                  <c:v>2.4302548736367884</c:v>
                </c:pt>
                <c:pt idx="21">
                  <c:v>2.5517676173186277</c:v>
                </c:pt>
                <c:pt idx="22">
                  <c:v>2.673280361000467</c:v>
                </c:pt>
                <c:pt idx="23">
                  <c:v>2.7947931046823062</c:v>
                </c:pt>
                <c:pt idx="24">
                  <c:v>2.9163058483641455</c:v>
                </c:pt>
                <c:pt idx="25">
                  <c:v>3.0378185920459848</c:v>
                </c:pt>
                <c:pt idx="26">
                  <c:v>3.1593313357278241</c:v>
                </c:pt>
                <c:pt idx="27">
                  <c:v>3.2808440794096634</c:v>
                </c:pt>
                <c:pt idx="28">
                  <c:v>3.4023568230915027</c:v>
                </c:pt>
                <c:pt idx="29">
                  <c:v>3.523869566773342</c:v>
                </c:pt>
                <c:pt idx="30">
                  <c:v>3.6453823104551812</c:v>
                </c:pt>
                <c:pt idx="31">
                  <c:v>3.7668950541370205</c:v>
                </c:pt>
                <c:pt idx="32">
                  <c:v>3.8884077978188598</c:v>
                </c:pt>
                <c:pt idx="33">
                  <c:v>4.0099205415006995</c:v>
                </c:pt>
                <c:pt idx="34">
                  <c:v>4.1314332851825393</c:v>
                </c:pt>
                <c:pt idx="35">
                  <c:v>4.252946028864379</c:v>
                </c:pt>
                <c:pt idx="36">
                  <c:v>4.3744587725462187</c:v>
                </c:pt>
                <c:pt idx="37">
                  <c:v>4.4959715162280585</c:v>
                </c:pt>
                <c:pt idx="38">
                  <c:v>4.6174842599098982</c:v>
                </c:pt>
                <c:pt idx="39">
                  <c:v>4.7389970035917379</c:v>
                </c:pt>
                <c:pt idx="40">
                  <c:v>4.8605097472735777</c:v>
                </c:pt>
                <c:pt idx="41">
                  <c:v>4.9820224909554174</c:v>
                </c:pt>
                <c:pt idx="42">
                  <c:v>5.1035352346372571</c:v>
                </c:pt>
                <c:pt idx="43">
                  <c:v>5.2250479783190968</c:v>
                </c:pt>
                <c:pt idx="44">
                  <c:v>5.3465607220009366</c:v>
                </c:pt>
                <c:pt idx="45">
                  <c:v>5.4680734656827763</c:v>
                </c:pt>
                <c:pt idx="46">
                  <c:v>5.589586209364616</c:v>
                </c:pt>
                <c:pt idx="47">
                  <c:v>5.7110989530464558</c:v>
                </c:pt>
                <c:pt idx="48">
                  <c:v>5.8326116967282955</c:v>
                </c:pt>
                <c:pt idx="49">
                  <c:v>5.9541244404101352</c:v>
                </c:pt>
                <c:pt idx="50">
                  <c:v>6.075637184091975</c:v>
                </c:pt>
                <c:pt idx="51">
                  <c:v>6.1971499277738147</c:v>
                </c:pt>
                <c:pt idx="52">
                  <c:v>6.3186626714556544</c:v>
                </c:pt>
                <c:pt idx="53">
                  <c:v>6.4401754151374941</c:v>
                </c:pt>
                <c:pt idx="54">
                  <c:v>6.5616881588193339</c:v>
                </c:pt>
                <c:pt idx="55">
                  <c:v>6.6832009025011736</c:v>
                </c:pt>
                <c:pt idx="56">
                  <c:v>6.8047136461830133</c:v>
                </c:pt>
                <c:pt idx="57">
                  <c:v>6.9262263898648531</c:v>
                </c:pt>
                <c:pt idx="58">
                  <c:v>7.0477391335466928</c:v>
                </c:pt>
                <c:pt idx="59">
                  <c:v>7.1692518772285325</c:v>
                </c:pt>
                <c:pt idx="60">
                  <c:v>7.2907646209103723</c:v>
                </c:pt>
                <c:pt idx="61">
                  <c:v>7.412277364592212</c:v>
                </c:pt>
                <c:pt idx="62">
                  <c:v>7.5337901082740517</c:v>
                </c:pt>
                <c:pt idx="63">
                  <c:v>7.6553028519558914</c:v>
                </c:pt>
                <c:pt idx="64">
                  <c:v>7.7768155956377312</c:v>
                </c:pt>
                <c:pt idx="65">
                  <c:v>7.8983283393195709</c:v>
                </c:pt>
                <c:pt idx="66">
                  <c:v>8.0198410830014097</c:v>
                </c:pt>
                <c:pt idx="67">
                  <c:v>8.1413538266832486</c:v>
                </c:pt>
                <c:pt idx="68">
                  <c:v>8.2628665703650874</c:v>
                </c:pt>
                <c:pt idx="69">
                  <c:v>8.3843793140469263</c:v>
                </c:pt>
                <c:pt idx="70">
                  <c:v>8.5058920577287651</c:v>
                </c:pt>
                <c:pt idx="71">
                  <c:v>8.627404801410604</c:v>
                </c:pt>
                <c:pt idx="72">
                  <c:v>8.7489175450924428</c:v>
                </c:pt>
                <c:pt idx="73">
                  <c:v>8.8704302887742816</c:v>
                </c:pt>
                <c:pt idx="74">
                  <c:v>8.9919430324561205</c:v>
                </c:pt>
                <c:pt idx="75">
                  <c:v>9.1134557761379593</c:v>
                </c:pt>
                <c:pt idx="76">
                  <c:v>9.2349685198197982</c:v>
                </c:pt>
                <c:pt idx="77">
                  <c:v>9.356481263501637</c:v>
                </c:pt>
                <c:pt idx="78">
                  <c:v>9.4779940071834758</c:v>
                </c:pt>
                <c:pt idx="79">
                  <c:v>9.5995067508653147</c:v>
                </c:pt>
                <c:pt idx="80">
                  <c:v>9.7210194945471535</c:v>
                </c:pt>
                <c:pt idx="81">
                  <c:v>9.8425322382289924</c:v>
                </c:pt>
                <c:pt idx="82">
                  <c:v>9.9640449819108312</c:v>
                </c:pt>
                <c:pt idx="83">
                  <c:v>10.08555772559267</c:v>
                </c:pt>
                <c:pt idx="84">
                  <c:v>10.207070469274509</c:v>
                </c:pt>
                <c:pt idx="85">
                  <c:v>10.328583212956348</c:v>
                </c:pt>
                <c:pt idx="86">
                  <c:v>10.450095956638187</c:v>
                </c:pt>
                <c:pt idx="87">
                  <c:v>10.571608700320025</c:v>
                </c:pt>
                <c:pt idx="88">
                  <c:v>10.693121444001864</c:v>
                </c:pt>
                <c:pt idx="89">
                  <c:v>10.814634187683703</c:v>
                </c:pt>
                <c:pt idx="90">
                  <c:v>10.936146931365542</c:v>
                </c:pt>
                <c:pt idx="91">
                  <c:v>11.057659675047381</c:v>
                </c:pt>
                <c:pt idx="92">
                  <c:v>11.17917241872922</c:v>
                </c:pt>
                <c:pt idx="93">
                  <c:v>11.300685162411058</c:v>
                </c:pt>
                <c:pt idx="94">
                  <c:v>11.422197906092897</c:v>
                </c:pt>
                <c:pt idx="95">
                  <c:v>11.543710649774736</c:v>
                </c:pt>
                <c:pt idx="96">
                  <c:v>11.665223393456575</c:v>
                </c:pt>
                <c:pt idx="97">
                  <c:v>11.786736137138414</c:v>
                </c:pt>
                <c:pt idx="98">
                  <c:v>11.908248880820253</c:v>
                </c:pt>
                <c:pt idx="99">
                  <c:v>12.029761624502092</c:v>
                </c:pt>
                <c:pt idx="100">
                  <c:v>12.15127436818393</c:v>
                </c:pt>
                <c:pt idx="101">
                  <c:v>12.272787111865769</c:v>
                </c:pt>
                <c:pt idx="102">
                  <c:v>12.394299855547608</c:v>
                </c:pt>
                <c:pt idx="103">
                  <c:v>12.515812599229447</c:v>
                </c:pt>
                <c:pt idx="104">
                  <c:v>12.637325342911286</c:v>
                </c:pt>
                <c:pt idx="105">
                  <c:v>12.758838086593125</c:v>
                </c:pt>
                <c:pt idx="106">
                  <c:v>12.880350830274963</c:v>
                </c:pt>
                <c:pt idx="107">
                  <c:v>13.001863573956802</c:v>
                </c:pt>
                <c:pt idx="108">
                  <c:v>13.123376317638641</c:v>
                </c:pt>
                <c:pt idx="109">
                  <c:v>13.24488906132048</c:v>
                </c:pt>
                <c:pt idx="110">
                  <c:v>13.366401805002319</c:v>
                </c:pt>
                <c:pt idx="111">
                  <c:v>13.487914548684158</c:v>
                </c:pt>
                <c:pt idx="112">
                  <c:v>13.609427292365996</c:v>
                </c:pt>
                <c:pt idx="113">
                  <c:v>13.730940036047835</c:v>
                </c:pt>
                <c:pt idx="114">
                  <c:v>13.852452779729674</c:v>
                </c:pt>
                <c:pt idx="115">
                  <c:v>13.973965523411513</c:v>
                </c:pt>
                <c:pt idx="116">
                  <c:v>14.095478267093352</c:v>
                </c:pt>
                <c:pt idx="117">
                  <c:v>14.216991010775191</c:v>
                </c:pt>
                <c:pt idx="118">
                  <c:v>14.33850375445703</c:v>
                </c:pt>
                <c:pt idx="119">
                  <c:v>14.460016498138868</c:v>
                </c:pt>
                <c:pt idx="120">
                  <c:v>14.581529241820707</c:v>
                </c:pt>
                <c:pt idx="121">
                  <c:v>14.703041985502546</c:v>
                </c:pt>
                <c:pt idx="122">
                  <c:v>14.824554729184385</c:v>
                </c:pt>
                <c:pt idx="123">
                  <c:v>14.946067472866224</c:v>
                </c:pt>
                <c:pt idx="124">
                  <c:v>15.067580216548063</c:v>
                </c:pt>
                <c:pt idx="125">
                  <c:v>15.189092960229901</c:v>
                </c:pt>
                <c:pt idx="126">
                  <c:v>15.31060570391174</c:v>
                </c:pt>
                <c:pt idx="127">
                  <c:v>15.432118447593579</c:v>
                </c:pt>
                <c:pt idx="128">
                  <c:v>15.553631191275418</c:v>
                </c:pt>
                <c:pt idx="129">
                  <c:v>15.675143934957257</c:v>
                </c:pt>
                <c:pt idx="130">
                  <c:v>15.796656678639096</c:v>
                </c:pt>
                <c:pt idx="131">
                  <c:v>15.918169422320934</c:v>
                </c:pt>
                <c:pt idx="132">
                  <c:v>16.039682166002773</c:v>
                </c:pt>
                <c:pt idx="133">
                  <c:v>16.161194909684614</c:v>
                </c:pt>
                <c:pt idx="134">
                  <c:v>16.282707653366455</c:v>
                </c:pt>
                <c:pt idx="135">
                  <c:v>16.404220397048295</c:v>
                </c:pt>
                <c:pt idx="136">
                  <c:v>16.525733140730136</c:v>
                </c:pt>
                <c:pt idx="137">
                  <c:v>16.647245884411976</c:v>
                </c:pt>
                <c:pt idx="138">
                  <c:v>16.768758628093817</c:v>
                </c:pt>
                <c:pt idx="139">
                  <c:v>16.890271371775658</c:v>
                </c:pt>
                <c:pt idx="140">
                  <c:v>17.011784115457498</c:v>
                </c:pt>
                <c:pt idx="141">
                  <c:v>17.133296859139339</c:v>
                </c:pt>
                <c:pt idx="142">
                  <c:v>17.254809602821179</c:v>
                </c:pt>
                <c:pt idx="143">
                  <c:v>17.37632234650302</c:v>
                </c:pt>
                <c:pt idx="144">
                  <c:v>17.497835090184861</c:v>
                </c:pt>
                <c:pt idx="145">
                  <c:v>17.619347833866701</c:v>
                </c:pt>
                <c:pt idx="146">
                  <c:v>17.740860577548542</c:v>
                </c:pt>
                <c:pt idx="147">
                  <c:v>17.862373321230383</c:v>
                </c:pt>
                <c:pt idx="148">
                  <c:v>17.983886064912223</c:v>
                </c:pt>
                <c:pt idx="149">
                  <c:v>18.105398808594064</c:v>
                </c:pt>
                <c:pt idx="150">
                  <c:v>18.226911552275904</c:v>
                </c:pt>
                <c:pt idx="151">
                  <c:v>18.348424295957745</c:v>
                </c:pt>
                <c:pt idx="152">
                  <c:v>18.469937039639586</c:v>
                </c:pt>
                <c:pt idx="153">
                  <c:v>18.591449783321426</c:v>
                </c:pt>
                <c:pt idx="154">
                  <c:v>18.712962527003267</c:v>
                </c:pt>
                <c:pt idx="155">
                  <c:v>18.834475270685108</c:v>
                </c:pt>
                <c:pt idx="156">
                  <c:v>18.955988014366948</c:v>
                </c:pt>
                <c:pt idx="157">
                  <c:v>19.077500758048789</c:v>
                </c:pt>
                <c:pt idx="158">
                  <c:v>19.199013501730629</c:v>
                </c:pt>
                <c:pt idx="159">
                  <c:v>19.32052624541247</c:v>
                </c:pt>
                <c:pt idx="160">
                  <c:v>19.442038989094311</c:v>
                </c:pt>
                <c:pt idx="161">
                  <c:v>19.563551732776151</c:v>
                </c:pt>
                <c:pt idx="162">
                  <c:v>19.685064476457992</c:v>
                </c:pt>
                <c:pt idx="163">
                  <c:v>19.806577220139832</c:v>
                </c:pt>
                <c:pt idx="164">
                  <c:v>19.928089963821673</c:v>
                </c:pt>
                <c:pt idx="165">
                  <c:v>20.049602707503514</c:v>
                </c:pt>
                <c:pt idx="166">
                  <c:v>20.171115451185354</c:v>
                </c:pt>
                <c:pt idx="167">
                  <c:v>20.292628194867195</c:v>
                </c:pt>
                <c:pt idx="168">
                  <c:v>20.414140938549036</c:v>
                </c:pt>
                <c:pt idx="169">
                  <c:v>20.535653682230876</c:v>
                </c:pt>
                <c:pt idx="170">
                  <c:v>20.657166425912717</c:v>
                </c:pt>
                <c:pt idx="171">
                  <c:v>20.778679169594557</c:v>
                </c:pt>
                <c:pt idx="172">
                  <c:v>20.900191913276398</c:v>
                </c:pt>
                <c:pt idx="173">
                  <c:v>21.021704656958239</c:v>
                </c:pt>
                <c:pt idx="174">
                  <c:v>21.143217400640079</c:v>
                </c:pt>
                <c:pt idx="175">
                  <c:v>21.26473014432192</c:v>
                </c:pt>
                <c:pt idx="176">
                  <c:v>21.38624288800376</c:v>
                </c:pt>
                <c:pt idx="177">
                  <c:v>21.507755631685601</c:v>
                </c:pt>
                <c:pt idx="178">
                  <c:v>21.629268375367442</c:v>
                </c:pt>
                <c:pt idx="179">
                  <c:v>21.750781119049282</c:v>
                </c:pt>
                <c:pt idx="180">
                  <c:v>21.872293862731123</c:v>
                </c:pt>
                <c:pt idx="181">
                  <c:v>21.993806606412964</c:v>
                </c:pt>
                <c:pt idx="182">
                  <c:v>22.115319350094804</c:v>
                </c:pt>
                <c:pt idx="183">
                  <c:v>22.236832093776645</c:v>
                </c:pt>
                <c:pt idx="184">
                  <c:v>22.358344837458485</c:v>
                </c:pt>
                <c:pt idx="185">
                  <c:v>22.479857581140326</c:v>
                </c:pt>
                <c:pt idx="186">
                  <c:v>22.601370324822167</c:v>
                </c:pt>
                <c:pt idx="187">
                  <c:v>22.722883068504007</c:v>
                </c:pt>
                <c:pt idx="188">
                  <c:v>22.844395812185848</c:v>
                </c:pt>
                <c:pt idx="189">
                  <c:v>22.965908555867689</c:v>
                </c:pt>
                <c:pt idx="190">
                  <c:v>23.087421299549529</c:v>
                </c:pt>
                <c:pt idx="191">
                  <c:v>23.20893404323137</c:v>
                </c:pt>
                <c:pt idx="192">
                  <c:v>23.33044678691321</c:v>
                </c:pt>
                <c:pt idx="193">
                  <c:v>23.451959530595051</c:v>
                </c:pt>
                <c:pt idx="194">
                  <c:v>23.573472274276892</c:v>
                </c:pt>
                <c:pt idx="195">
                  <c:v>23.694985017958732</c:v>
                </c:pt>
                <c:pt idx="196">
                  <c:v>23.816497761640573</c:v>
                </c:pt>
                <c:pt idx="197">
                  <c:v>23.938010505322413</c:v>
                </c:pt>
                <c:pt idx="198">
                  <c:v>24.059523249004254</c:v>
                </c:pt>
                <c:pt idx="199">
                  <c:v>24.181035992686095</c:v>
                </c:pt>
              </c:numCache>
            </c:numRef>
          </c:cat>
          <c:val>
            <c:numRef>
              <c:f>Hill_Saturation!$T$3:$T$202</c:f>
              <c:numCache>
                <c:formatCode>General</c:formatCode>
                <c:ptCount val="200"/>
                <c:pt idx="0">
                  <c:v>0</c:v>
                </c:pt>
                <c:pt idx="1">
                  <c:v>5.1483427765776427E-3</c:v>
                </c:pt>
                <c:pt idx="2">
                  <c:v>1.2581985129353412E-2</c:v>
                </c:pt>
                <c:pt idx="3">
                  <c:v>2.1129632310113118E-2</c:v>
                </c:pt>
                <c:pt idx="4">
                  <c:v>3.0420784707544436E-2</c:v>
                </c:pt>
                <c:pt idx="5">
                  <c:v>4.0246652860403902E-2</c:v>
                </c:pt>
                <c:pt idx="6">
                  <c:v>5.0467918710344249E-2</c:v>
                </c:pt>
                <c:pt idx="7">
                  <c:v>6.0983164604793048E-2</c:v>
                </c:pt>
                <c:pt idx="8">
                  <c:v>7.1714607576028114E-2</c:v>
                </c:pt>
                <c:pt idx="9">
                  <c:v>8.2600536980410297E-2</c:v>
                </c:pt>
                <c:pt idx="10">
                  <c:v>9.3590853159891088E-2</c:v>
                </c:pt>
                <c:pt idx="11">
                  <c:v>0.10464422299275034</c:v>
                </c:pt>
                <c:pt idx="12">
                  <c:v>0.11572615556130431</c:v>
                </c:pt>
                <c:pt idx="13">
                  <c:v>0.12680763794755756</c:v>
                </c:pt>
                <c:pt idx="14">
                  <c:v>0.13786413091793823</c:v>
                </c:pt>
                <c:pt idx="15">
                  <c:v>0.14887480634331965</c:v>
                </c:pt>
                <c:pt idx="16">
                  <c:v>0.15982195316671621</c:v>
                </c:pt>
                <c:pt idx="17">
                  <c:v>0.17069050469367056</c:v>
                </c:pt>
                <c:pt idx="18">
                  <c:v>0.18146765564700168</c:v>
                </c:pt>
                <c:pt idx="19">
                  <c:v>0.19214254724434982</c:v>
                </c:pt>
                <c:pt idx="20">
                  <c:v>0.20270600491239374</c:v>
                </c:pt>
                <c:pt idx="21">
                  <c:v>0.21315031748590968</c:v>
                </c:pt>
                <c:pt idx="22">
                  <c:v>0.22346904963375153</c:v>
                </c:pt>
                <c:pt idx="23">
                  <c:v>0.23365688127743514</c:v>
                </c:pt>
                <c:pt idx="24">
                  <c:v>0.24370946921265185</c:v>
                </c:pt>
                <c:pt idx="25">
                  <c:v>0.25362332719505432</c:v>
                </c:pt>
                <c:pt idx="26">
                  <c:v>0.2633957215296725</c:v>
                </c:pt>
                <c:pt idx="27">
                  <c:v>0.27302457978854999</c:v>
                </c:pt>
                <c:pt idx="28">
                  <c:v>0.28250841072797983</c:v>
                </c:pt>
                <c:pt idx="29">
                  <c:v>0.29184623382253116</c:v>
                </c:pt>
                <c:pt idx="30">
                  <c:v>0.30103751710417681</c:v>
                </c:pt>
                <c:pt idx="31">
                  <c:v>0.31008212220990394</c:v>
                </c:pt>
                <c:pt idx="32">
                  <c:v>0.31898025571372057</c:v>
                </c:pt>
                <c:pt idx="33">
                  <c:v>0.32773242595877777</c:v>
                </c:pt>
                <c:pt idx="34">
                  <c:v>0.33633940471970458</c:v>
                </c:pt>
                <c:pt idx="35">
                  <c:v>0.34480219311964944</c:v>
                </c:pt>
                <c:pt idx="36">
                  <c:v>0.35312199130505528</c:v>
                </c:pt>
                <c:pt idx="37">
                  <c:v>0.36130017144702087</c:v>
                </c:pt>
                <c:pt idx="38">
                  <c:v>0.36933825369365125</c:v>
                </c:pt>
                <c:pt idx="39">
                  <c:v>0.37723788474497444</c:v>
                </c:pt>
                <c:pt idx="40">
                  <c:v>0.38500081876228648</c:v>
                </c:pt>
                <c:pt idx="41">
                  <c:v>0.39262890035838038</c:v>
                </c:pt>
                <c:pt idx="42">
                  <c:v>0.4001240494449399</c:v>
                </c:pt>
                <c:pt idx="43">
                  <c:v>0.40748824773923614</c:v>
                </c:pt>
                <c:pt idx="44">
                  <c:v>0.41472352675473834</c:v>
                </c:pt>
                <c:pt idx="45">
                  <c:v>0.42183195711987209</c:v>
                </c:pt>
                <c:pt idx="46">
                  <c:v>0.42881563908634523</c:v>
                </c:pt>
                <c:pt idx="47">
                  <c:v>0.43567669410354792</c:v>
                </c:pt>
                <c:pt idx="48">
                  <c:v>0.44241725734882553</c:v>
                </c:pt>
                <c:pt idx="49">
                  <c:v>0.44903947111515818</c:v>
                </c:pt>
                <c:pt idx="50">
                  <c:v>0.455545478968155</c:v>
                </c:pt>
                <c:pt idx="51">
                  <c:v>0.46193742059348186</c:v>
                </c:pt>
                <c:pt idx="52">
                  <c:v>0.46821742726401044</c:v>
                </c:pt>
                <c:pt idx="53">
                  <c:v>0.47438761786325123</c:v>
                </c:pt>
                <c:pt idx="54">
                  <c:v>0.48045009540811429</c:v>
                </c:pt>
                <c:pt idx="55">
                  <c:v>0.48640694401982476</c:v>
                </c:pt>
                <c:pt idx="56">
                  <c:v>0.49226022629698596</c:v>
                </c:pt>
                <c:pt idx="57">
                  <c:v>0.49801198104940808</c:v>
                </c:pt>
                <c:pt idx="58">
                  <c:v>0.50366422135545696</c:v>
                </c:pt>
                <c:pt idx="59">
                  <c:v>0.50921893290939324</c:v>
                </c:pt>
                <c:pt idx="60">
                  <c:v>0.51467807262849496</c:v>
                </c:pt>
                <c:pt idx="61">
                  <c:v>0.52004356749275749</c:v>
                </c:pt>
                <c:pt idx="62">
                  <c:v>0.52531731359263945</c:v>
                </c:pt>
                <c:pt idx="63">
                  <c:v>0.53050117536275276</c:v>
                </c:pt>
                <c:pt idx="64">
                  <c:v>0.53559698498156305</c:v>
                </c:pt>
                <c:pt idx="65">
                  <c:v>0.54060654191912694</c:v>
                </c:pt>
                <c:pt idx="66">
                  <c:v>0.5455316126166625</c:v>
                </c:pt>
                <c:pt idx="67">
                  <c:v>0.55037393028333337</c:v>
                </c:pt>
                <c:pt idx="68">
                  <c:v>0.55513519479706974</c:v>
                </c:pt>
                <c:pt idx="69">
                  <c:v>0.55981707269754089</c:v>
                </c:pt>
                <c:pt idx="70">
                  <c:v>0.56442119726056394</c:v>
                </c:pt>
                <c:pt idx="71">
                  <c:v>0.56894916864428946</c:v>
                </c:pt>
                <c:pt idx="72">
                  <c:v>0.57340255409846042</c:v>
                </c:pt>
                <c:pt idx="73">
                  <c:v>0.57778288822890123</c:v>
                </c:pt>
                <c:pt idx="74">
                  <c:v>0.58209167331016942</c:v>
                </c:pt>
                <c:pt idx="75">
                  <c:v>0.58633037964001855</c:v>
                </c:pt>
                <c:pt idx="76">
                  <c:v>0.59050044592994055</c:v>
                </c:pt>
                <c:pt idx="77">
                  <c:v>0.59460327972664873</c:v>
                </c:pt>
                <c:pt idx="78">
                  <c:v>0.59864025785987285</c:v>
                </c:pt>
                <c:pt idx="79">
                  <c:v>0.60261272691231171</c:v>
                </c:pt>
                <c:pt idx="80">
                  <c:v>0.60652200370801967</c:v>
                </c:pt>
                <c:pt idx="81">
                  <c:v>0.61036937581588124</c:v>
                </c:pt>
                <c:pt idx="82">
                  <c:v>0.61415610206518412</c:v>
                </c:pt>
                <c:pt idx="83">
                  <c:v>0.61788341307061323</c:v>
                </c:pt>
                <c:pt idx="84">
                  <c:v>0.62155251176427662</c:v>
                </c:pt>
                <c:pt idx="85">
                  <c:v>0.6251645739326267</c:v>
                </c:pt>
                <c:pt idx="86">
                  <c:v>0.62872074875638295</c:v>
                </c:pt>
                <c:pt idx="87">
                  <c:v>0.63222215935176573</c:v>
                </c:pt>
                <c:pt idx="88">
                  <c:v>0.63566990331154771</c:v>
                </c:pt>
                <c:pt idx="89">
                  <c:v>0.63906505324459584</c:v>
                </c:pt>
                <c:pt idx="90">
                  <c:v>0.64240865731274055</c:v>
                </c:pt>
                <c:pt idx="91">
                  <c:v>0.64570173976394429</c:v>
                </c:pt>
                <c:pt idx="92">
                  <c:v>0.64894530146086826</c:v>
                </c:pt>
                <c:pt idx="93">
                  <c:v>0.65214032040405956</c:v>
                </c:pt>
                <c:pt idx="94">
                  <c:v>0.65528775224906977</c:v>
                </c:pt>
                <c:pt idx="95">
                  <c:v>0.6583885308169255</c:v>
                </c:pt>
                <c:pt idx="96">
                  <c:v>0.6614435685974448</c:v>
                </c:pt>
                <c:pt idx="97">
                  <c:v>0.66445375724497135</c:v>
                </c:pt>
                <c:pt idx="98">
                  <c:v>0.6674199680661701</c:v>
                </c:pt>
                <c:pt idx="99">
                  <c:v>0.67034305249958592</c:v>
                </c:pt>
                <c:pt idx="100">
                  <c:v>0.67322384258671952</c:v>
                </c:pt>
                <c:pt idx="101">
                  <c:v>0.67606315143443518</c:v>
                </c:pt>
                <c:pt idx="102">
                  <c:v>0.67886177366853839</c:v>
                </c:pt>
                <c:pt idx="103">
                  <c:v>0.68162048587842794</c:v>
                </c:pt>
                <c:pt idx="104">
                  <c:v>0.68434004705273621</c:v>
                </c:pt>
                <c:pt idx="105">
                  <c:v>0.68702119900592096</c:v>
                </c:pt>
                <c:pt idx="106">
                  <c:v>0.68966466679579064</c:v>
                </c:pt>
                <c:pt idx="107">
                  <c:v>0.69227115913197412</c:v>
                </c:pt>
                <c:pt idx="108">
                  <c:v>0.69484136877536407</c:v>
                </c:pt>
                <c:pt idx="109">
                  <c:v>0.69737597292858811</c:v>
                </c:pt>
                <c:pt idx="110">
                  <c:v>0.69987563361757077</c:v>
                </c:pt>
                <c:pt idx="111">
                  <c:v>0.70234099806427308</c:v>
                </c:pt>
                <c:pt idx="112">
                  <c:v>0.70477269905070372</c:v>
                </c:pt>
                <c:pt idx="113">
                  <c:v>0.70717135527430608</c:v>
                </c:pt>
                <c:pt idx="114">
                  <c:v>0.709537571694842</c:v>
                </c:pt>
                <c:pt idx="115">
                  <c:v>0.71187193987289421</c:v>
                </c:pt>
                <c:pt idx="116">
                  <c:v>0.71417503830011875</c:v>
                </c:pt>
                <c:pt idx="117">
                  <c:v>0.71644743272138733</c:v>
                </c:pt>
                <c:pt idx="118">
                  <c:v>0.71868967644895887</c:v>
                </c:pt>
                <c:pt idx="119">
                  <c:v>0.72090231066883126</c:v>
                </c:pt>
                <c:pt idx="120">
                  <c:v>0.72308586473941727</c:v>
                </c:pt>
                <c:pt idx="121">
                  <c:v>0.72524085648270109</c:v>
                </c:pt>
                <c:pt idx="122">
                  <c:v>0.72736779246802652</c:v>
                </c:pt>
                <c:pt idx="123">
                  <c:v>0.72946716828867297</c:v>
                </c:pt>
                <c:pt idx="124">
                  <c:v>0.73153946883137366</c:v>
                </c:pt>
                <c:pt idx="125">
                  <c:v>0.73358516853893252</c:v>
                </c:pt>
                <c:pt idx="126">
                  <c:v>0.73560473166609297</c:v>
                </c:pt>
                <c:pt idx="127">
                  <c:v>0.73759861252881664</c:v>
                </c:pt>
                <c:pt idx="128">
                  <c:v>0.7395672557471199</c:v>
                </c:pt>
                <c:pt idx="129">
                  <c:v>0.74151109648162916</c:v>
                </c:pt>
                <c:pt idx="130">
                  <c:v>0.74343056066399416</c:v>
                </c:pt>
                <c:pt idx="131">
                  <c:v>0.74532606522132061</c:v>
                </c:pt>
                <c:pt idx="132">
                  <c:v>0.74719801829475918</c:v>
                </c:pt>
                <c:pt idx="133">
                  <c:v>0.74904681945240192</c:v>
                </c:pt>
                <c:pt idx="134">
                  <c:v>0.75087285989662711</c:v>
                </c:pt>
                <c:pt idx="135">
                  <c:v>0.7526765226660308</c:v>
                </c:pt>
                <c:pt idx="136">
                  <c:v>0.75445818283208899</c:v>
                </c:pt>
                <c:pt idx="137">
                  <c:v>0.75621820769067771</c:v>
                </c:pt>
                <c:pt idx="138">
                  <c:v>0.75795695694859222</c:v>
                </c:pt>
                <c:pt idx="139">
                  <c:v>0.75967478290519064</c:v>
                </c:pt>
                <c:pt idx="140">
                  <c:v>0.76137203062928904</c:v>
                </c:pt>
                <c:pt idx="141">
                  <c:v>0.76304903813143787</c:v>
                </c:pt>
                <c:pt idx="142">
                  <c:v>0.76470613653169728</c:v>
                </c:pt>
                <c:pt idx="143">
                  <c:v>0.7663436502230323</c:v>
                </c:pt>
                <c:pt idx="144">
                  <c:v>0.76796189703044604</c:v>
                </c:pt>
                <c:pt idx="145">
                  <c:v>0.76956118836596288</c:v>
                </c:pt>
                <c:pt idx="146">
                  <c:v>0.77114182937957565</c:v>
                </c:pt>
                <c:pt idx="147">
                  <c:v>0.77270411910626202</c:v>
                </c:pt>
                <c:pt idx="148">
                  <c:v>0.77424835060917996</c:v>
                </c:pt>
                <c:pt idx="149">
                  <c:v>0.77577481111914337</c:v>
                </c:pt>
                <c:pt idx="150">
                  <c:v>0.77728378217047933</c:v>
                </c:pt>
                <c:pt idx="151">
                  <c:v>0.77877553973336555</c:v>
                </c:pt>
                <c:pt idx="152">
                  <c:v>0.78025035434274415</c:v>
                </c:pt>
                <c:pt idx="153">
                  <c:v>0.78170849122390396</c:v>
                </c:pt>
                <c:pt idx="154">
                  <c:v>0.78315021041482269</c:v>
                </c:pt>
                <c:pt idx="155">
                  <c:v>0.78457576688535957</c:v>
                </c:pt>
                <c:pt idx="156">
                  <c:v>0.78598541065337968</c:v>
                </c:pt>
                <c:pt idx="157">
                  <c:v>0.78737938689790044</c:v>
                </c:pt>
                <c:pt idx="158">
                  <c:v>0.78875793606933542</c:v>
                </c:pt>
                <c:pt idx="159">
                  <c:v>0.79012129399691944</c:v>
                </c:pt>
                <c:pt idx="160">
                  <c:v>0.7914696919933899</c:v>
                </c:pt>
                <c:pt idx="161">
                  <c:v>0.79280335695700133</c:v>
                </c:pt>
                <c:pt idx="162">
                  <c:v>0.79412251147094171</c:v>
                </c:pt>
                <c:pt idx="163">
                  <c:v>0.79542737390022988</c:v>
                </c:pt>
                <c:pt idx="164">
                  <c:v>0.79671815848615413</c:v>
                </c:pt>
                <c:pt idx="165">
                  <c:v>0.79799507543832426</c:v>
                </c:pt>
                <c:pt idx="166">
                  <c:v>0.79925833102440313</c:v>
                </c:pt>
                <c:pt idx="167">
                  <c:v>0.80050812765757573</c:v>
                </c:pt>
                <c:pt idx="168">
                  <c:v>0.80174466398182542</c:v>
                </c:pt>
                <c:pt idx="169">
                  <c:v>0.8029681349550688</c:v>
                </c:pt>
                <c:pt idx="170">
                  <c:v>0.80417873193021505</c:v>
                </c:pt>
                <c:pt idx="171">
                  <c:v>0.80537664273420062</c:v>
                </c:pt>
                <c:pt idx="172">
                  <c:v>0.80656205174505824</c:v>
                </c:pt>
                <c:pt idx="173">
                  <c:v>0.80773513996706992</c:v>
                </c:pt>
                <c:pt idx="174">
                  <c:v>0.80889608510406141</c:v>
                </c:pt>
                <c:pt idx="175">
                  <c:v>0.81004506163088219</c:v>
                </c:pt>
                <c:pt idx="176">
                  <c:v>0.81118224086312474</c:v>
                </c:pt>
                <c:pt idx="177">
                  <c:v>0.81230779102512818</c:v>
                </c:pt>
                <c:pt idx="178">
                  <c:v>0.8134218773163151</c:v>
                </c:pt>
                <c:pt idx="179">
                  <c:v>0.81452466197590279</c:v>
                </c:pt>
                <c:pt idx="180">
                  <c:v>0.81561630434603694</c:v>
                </c:pt>
                <c:pt idx="181">
                  <c:v>0.81669696093338573</c:v>
                </c:pt>
                <c:pt idx="182">
                  <c:v>0.81776678546924075</c:v>
                </c:pt>
                <c:pt idx="183">
                  <c:v>0.81882592896815953</c:v>
                </c:pt>
                <c:pt idx="184">
                  <c:v>0.8198745397851922</c:v>
                </c:pt>
                <c:pt idx="185">
                  <c:v>0.82091276367172894</c:v>
                </c:pt>
                <c:pt idx="186">
                  <c:v>0.82194074383000493</c:v>
                </c:pt>
                <c:pt idx="187">
                  <c:v>0.82295862096629813</c:v>
                </c:pt>
                <c:pt idx="188">
                  <c:v>0.82396653334285597</c:v>
                </c:pt>
                <c:pt idx="189">
                  <c:v>0.82496461682858302</c:v>
                </c:pt>
                <c:pt idx="190">
                  <c:v>0.82595300494852275</c:v>
                </c:pt>
                <c:pt idx="191">
                  <c:v>0.8269318289321671</c:v>
                </c:pt>
                <c:pt idx="192">
                  <c:v>0.82790121776062098</c:v>
                </c:pt>
                <c:pt idx="193">
                  <c:v>0.82886129821265575</c:v>
                </c:pt>
                <c:pt idx="194">
                  <c:v>0.82981219490967817</c:v>
                </c:pt>
                <c:pt idx="195">
                  <c:v>0.83075403035964468</c:v>
                </c:pt>
                <c:pt idx="196">
                  <c:v>0.83168692499994767</c:v>
                </c:pt>
                <c:pt idx="197">
                  <c:v>0.83261099723930021</c:v>
                </c:pt>
                <c:pt idx="198">
                  <c:v>0.83352636349864784</c:v>
                </c:pt>
                <c:pt idx="199">
                  <c:v>0.8344331382511283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B-4470-8DE4-E77911CF81A2}"/>
            </c:ext>
          </c:extLst>
        </c:ser>
        <c:ser>
          <c:idx val="2"/>
          <c:order val="2"/>
          <c:tx>
            <c:strRef>
              <c:f>Hill_Saturation!$U$2</c:f>
              <c:strCache>
                <c:ptCount val="1"/>
                <c:pt idx="0">
                  <c:v>yt_spend_lakhs_sat_70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Hill_Saturation!$E$3:$E$202</c:f>
              <c:numCache>
                <c:formatCode>General</c:formatCode>
                <c:ptCount val="200"/>
                <c:pt idx="0">
                  <c:v>0</c:v>
                </c:pt>
                <c:pt idx="1">
                  <c:v>0.12151274368183942</c:v>
                </c:pt>
                <c:pt idx="2">
                  <c:v>0.24302548736367885</c:v>
                </c:pt>
                <c:pt idx="3">
                  <c:v>0.3645382310455183</c:v>
                </c:pt>
                <c:pt idx="4">
                  <c:v>0.4860509747273577</c:v>
                </c:pt>
                <c:pt idx="5">
                  <c:v>0.6075637184091971</c:v>
                </c:pt>
                <c:pt idx="6">
                  <c:v>0.72907646209103649</c:v>
                </c:pt>
                <c:pt idx="7">
                  <c:v>0.85058920577287589</c:v>
                </c:pt>
                <c:pt idx="8">
                  <c:v>0.97210194945471529</c:v>
                </c:pt>
                <c:pt idx="9">
                  <c:v>1.0936146931365547</c:v>
                </c:pt>
                <c:pt idx="10">
                  <c:v>1.2151274368183942</c:v>
                </c:pt>
                <c:pt idx="11">
                  <c:v>1.3366401805002337</c:v>
                </c:pt>
                <c:pt idx="12">
                  <c:v>1.4581529241820732</c:v>
                </c:pt>
                <c:pt idx="13">
                  <c:v>1.5796656678639127</c:v>
                </c:pt>
                <c:pt idx="14">
                  <c:v>1.7011784115457522</c:v>
                </c:pt>
                <c:pt idx="15">
                  <c:v>1.8226911552275917</c:v>
                </c:pt>
                <c:pt idx="16">
                  <c:v>1.9442038989094312</c:v>
                </c:pt>
                <c:pt idx="17">
                  <c:v>2.0657166425912705</c:v>
                </c:pt>
                <c:pt idx="18">
                  <c:v>2.1872293862731098</c:v>
                </c:pt>
                <c:pt idx="19">
                  <c:v>2.3087421299549491</c:v>
                </c:pt>
                <c:pt idx="20">
                  <c:v>2.4302548736367884</c:v>
                </c:pt>
                <c:pt idx="21">
                  <c:v>2.5517676173186277</c:v>
                </c:pt>
                <c:pt idx="22">
                  <c:v>2.673280361000467</c:v>
                </c:pt>
                <c:pt idx="23">
                  <c:v>2.7947931046823062</c:v>
                </c:pt>
                <c:pt idx="24">
                  <c:v>2.9163058483641455</c:v>
                </c:pt>
                <c:pt idx="25">
                  <c:v>3.0378185920459848</c:v>
                </c:pt>
                <c:pt idx="26">
                  <c:v>3.1593313357278241</c:v>
                </c:pt>
                <c:pt idx="27">
                  <c:v>3.2808440794096634</c:v>
                </c:pt>
                <c:pt idx="28">
                  <c:v>3.4023568230915027</c:v>
                </c:pt>
                <c:pt idx="29">
                  <c:v>3.523869566773342</c:v>
                </c:pt>
                <c:pt idx="30">
                  <c:v>3.6453823104551812</c:v>
                </c:pt>
                <c:pt idx="31">
                  <c:v>3.7668950541370205</c:v>
                </c:pt>
                <c:pt idx="32">
                  <c:v>3.8884077978188598</c:v>
                </c:pt>
                <c:pt idx="33">
                  <c:v>4.0099205415006995</c:v>
                </c:pt>
                <c:pt idx="34">
                  <c:v>4.1314332851825393</c:v>
                </c:pt>
                <c:pt idx="35">
                  <c:v>4.252946028864379</c:v>
                </c:pt>
                <c:pt idx="36">
                  <c:v>4.3744587725462187</c:v>
                </c:pt>
                <c:pt idx="37">
                  <c:v>4.4959715162280585</c:v>
                </c:pt>
                <c:pt idx="38">
                  <c:v>4.6174842599098982</c:v>
                </c:pt>
                <c:pt idx="39">
                  <c:v>4.7389970035917379</c:v>
                </c:pt>
                <c:pt idx="40">
                  <c:v>4.8605097472735777</c:v>
                </c:pt>
                <c:pt idx="41">
                  <c:v>4.9820224909554174</c:v>
                </c:pt>
                <c:pt idx="42">
                  <c:v>5.1035352346372571</c:v>
                </c:pt>
                <c:pt idx="43">
                  <c:v>5.2250479783190968</c:v>
                </c:pt>
                <c:pt idx="44">
                  <c:v>5.3465607220009366</c:v>
                </c:pt>
                <c:pt idx="45">
                  <c:v>5.4680734656827763</c:v>
                </c:pt>
                <c:pt idx="46">
                  <c:v>5.589586209364616</c:v>
                </c:pt>
                <c:pt idx="47">
                  <c:v>5.7110989530464558</c:v>
                </c:pt>
                <c:pt idx="48">
                  <c:v>5.8326116967282955</c:v>
                </c:pt>
                <c:pt idx="49">
                  <c:v>5.9541244404101352</c:v>
                </c:pt>
                <c:pt idx="50">
                  <c:v>6.075637184091975</c:v>
                </c:pt>
                <c:pt idx="51">
                  <c:v>6.1971499277738147</c:v>
                </c:pt>
                <c:pt idx="52">
                  <c:v>6.3186626714556544</c:v>
                </c:pt>
                <c:pt idx="53">
                  <c:v>6.4401754151374941</c:v>
                </c:pt>
                <c:pt idx="54">
                  <c:v>6.5616881588193339</c:v>
                </c:pt>
                <c:pt idx="55">
                  <c:v>6.6832009025011736</c:v>
                </c:pt>
                <c:pt idx="56">
                  <c:v>6.8047136461830133</c:v>
                </c:pt>
                <c:pt idx="57">
                  <c:v>6.9262263898648531</c:v>
                </c:pt>
                <c:pt idx="58">
                  <c:v>7.0477391335466928</c:v>
                </c:pt>
                <c:pt idx="59">
                  <c:v>7.1692518772285325</c:v>
                </c:pt>
                <c:pt idx="60">
                  <c:v>7.2907646209103723</c:v>
                </c:pt>
                <c:pt idx="61">
                  <c:v>7.412277364592212</c:v>
                </c:pt>
                <c:pt idx="62">
                  <c:v>7.5337901082740517</c:v>
                </c:pt>
                <c:pt idx="63">
                  <c:v>7.6553028519558914</c:v>
                </c:pt>
                <c:pt idx="64">
                  <c:v>7.7768155956377312</c:v>
                </c:pt>
                <c:pt idx="65">
                  <c:v>7.8983283393195709</c:v>
                </c:pt>
                <c:pt idx="66">
                  <c:v>8.0198410830014097</c:v>
                </c:pt>
                <c:pt idx="67">
                  <c:v>8.1413538266832486</c:v>
                </c:pt>
                <c:pt idx="68">
                  <c:v>8.2628665703650874</c:v>
                </c:pt>
                <c:pt idx="69">
                  <c:v>8.3843793140469263</c:v>
                </c:pt>
                <c:pt idx="70">
                  <c:v>8.5058920577287651</c:v>
                </c:pt>
                <c:pt idx="71">
                  <c:v>8.627404801410604</c:v>
                </c:pt>
                <c:pt idx="72">
                  <c:v>8.7489175450924428</c:v>
                </c:pt>
                <c:pt idx="73">
                  <c:v>8.8704302887742816</c:v>
                </c:pt>
                <c:pt idx="74">
                  <c:v>8.9919430324561205</c:v>
                </c:pt>
                <c:pt idx="75">
                  <c:v>9.1134557761379593</c:v>
                </c:pt>
                <c:pt idx="76">
                  <c:v>9.2349685198197982</c:v>
                </c:pt>
                <c:pt idx="77">
                  <c:v>9.356481263501637</c:v>
                </c:pt>
                <c:pt idx="78">
                  <c:v>9.4779940071834758</c:v>
                </c:pt>
                <c:pt idx="79">
                  <c:v>9.5995067508653147</c:v>
                </c:pt>
                <c:pt idx="80">
                  <c:v>9.7210194945471535</c:v>
                </c:pt>
                <c:pt idx="81">
                  <c:v>9.8425322382289924</c:v>
                </c:pt>
                <c:pt idx="82">
                  <c:v>9.9640449819108312</c:v>
                </c:pt>
                <c:pt idx="83">
                  <c:v>10.08555772559267</c:v>
                </c:pt>
                <c:pt idx="84">
                  <c:v>10.207070469274509</c:v>
                </c:pt>
                <c:pt idx="85">
                  <c:v>10.328583212956348</c:v>
                </c:pt>
                <c:pt idx="86">
                  <c:v>10.450095956638187</c:v>
                </c:pt>
                <c:pt idx="87">
                  <c:v>10.571608700320025</c:v>
                </c:pt>
                <c:pt idx="88">
                  <c:v>10.693121444001864</c:v>
                </c:pt>
                <c:pt idx="89">
                  <c:v>10.814634187683703</c:v>
                </c:pt>
                <c:pt idx="90">
                  <c:v>10.936146931365542</c:v>
                </c:pt>
                <c:pt idx="91">
                  <c:v>11.057659675047381</c:v>
                </c:pt>
                <c:pt idx="92">
                  <c:v>11.17917241872922</c:v>
                </c:pt>
                <c:pt idx="93">
                  <c:v>11.300685162411058</c:v>
                </c:pt>
                <c:pt idx="94">
                  <c:v>11.422197906092897</c:v>
                </c:pt>
                <c:pt idx="95">
                  <c:v>11.543710649774736</c:v>
                </c:pt>
                <c:pt idx="96">
                  <c:v>11.665223393456575</c:v>
                </c:pt>
                <c:pt idx="97">
                  <c:v>11.786736137138414</c:v>
                </c:pt>
                <c:pt idx="98">
                  <c:v>11.908248880820253</c:v>
                </c:pt>
                <c:pt idx="99">
                  <c:v>12.029761624502092</c:v>
                </c:pt>
                <c:pt idx="100">
                  <c:v>12.15127436818393</c:v>
                </c:pt>
                <c:pt idx="101">
                  <c:v>12.272787111865769</c:v>
                </c:pt>
                <c:pt idx="102">
                  <c:v>12.394299855547608</c:v>
                </c:pt>
                <c:pt idx="103">
                  <c:v>12.515812599229447</c:v>
                </c:pt>
                <c:pt idx="104">
                  <c:v>12.637325342911286</c:v>
                </c:pt>
                <c:pt idx="105">
                  <c:v>12.758838086593125</c:v>
                </c:pt>
                <c:pt idx="106">
                  <c:v>12.880350830274963</c:v>
                </c:pt>
                <c:pt idx="107">
                  <c:v>13.001863573956802</c:v>
                </c:pt>
                <c:pt idx="108">
                  <c:v>13.123376317638641</c:v>
                </c:pt>
                <c:pt idx="109">
                  <c:v>13.24488906132048</c:v>
                </c:pt>
                <c:pt idx="110">
                  <c:v>13.366401805002319</c:v>
                </c:pt>
                <c:pt idx="111">
                  <c:v>13.487914548684158</c:v>
                </c:pt>
                <c:pt idx="112">
                  <c:v>13.609427292365996</c:v>
                </c:pt>
                <c:pt idx="113">
                  <c:v>13.730940036047835</c:v>
                </c:pt>
                <c:pt idx="114">
                  <c:v>13.852452779729674</c:v>
                </c:pt>
                <c:pt idx="115">
                  <c:v>13.973965523411513</c:v>
                </c:pt>
                <c:pt idx="116">
                  <c:v>14.095478267093352</c:v>
                </c:pt>
                <c:pt idx="117">
                  <c:v>14.216991010775191</c:v>
                </c:pt>
                <c:pt idx="118">
                  <c:v>14.33850375445703</c:v>
                </c:pt>
                <c:pt idx="119">
                  <c:v>14.460016498138868</c:v>
                </c:pt>
                <c:pt idx="120">
                  <c:v>14.581529241820707</c:v>
                </c:pt>
                <c:pt idx="121">
                  <c:v>14.703041985502546</c:v>
                </c:pt>
                <c:pt idx="122">
                  <c:v>14.824554729184385</c:v>
                </c:pt>
                <c:pt idx="123">
                  <c:v>14.946067472866224</c:v>
                </c:pt>
                <c:pt idx="124">
                  <c:v>15.067580216548063</c:v>
                </c:pt>
                <c:pt idx="125">
                  <c:v>15.189092960229901</c:v>
                </c:pt>
                <c:pt idx="126">
                  <c:v>15.31060570391174</c:v>
                </c:pt>
                <c:pt idx="127">
                  <c:v>15.432118447593579</c:v>
                </c:pt>
                <c:pt idx="128">
                  <c:v>15.553631191275418</c:v>
                </c:pt>
                <c:pt idx="129">
                  <c:v>15.675143934957257</c:v>
                </c:pt>
                <c:pt idx="130">
                  <c:v>15.796656678639096</c:v>
                </c:pt>
                <c:pt idx="131">
                  <c:v>15.918169422320934</c:v>
                </c:pt>
                <c:pt idx="132">
                  <c:v>16.039682166002773</c:v>
                </c:pt>
                <c:pt idx="133">
                  <c:v>16.161194909684614</c:v>
                </c:pt>
                <c:pt idx="134">
                  <c:v>16.282707653366455</c:v>
                </c:pt>
                <c:pt idx="135">
                  <c:v>16.404220397048295</c:v>
                </c:pt>
                <c:pt idx="136">
                  <c:v>16.525733140730136</c:v>
                </c:pt>
                <c:pt idx="137">
                  <c:v>16.647245884411976</c:v>
                </c:pt>
                <c:pt idx="138">
                  <c:v>16.768758628093817</c:v>
                </c:pt>
                <c:pt idx="139">
                  <c:v>16.890271371775658</c:v>
                </c:pt>
                <c:pt idx="140">
                  <c:v>17.011784115457498</c:v>
                </c:pt>
                <c:pt idx="141">
                  <c:v>17.133296859139339</c:v>
                </c:pt>
                <c:pt idx="142">
                  <c:v>17.254809602821179</c:v>
                </c:pt>
                <c:pt idx="143">
                  <c:v>17.37632234650302</c:v>
                </c:pt>
                <c:pt idx="144">
                  <c:v>17.497835090184861</c:v>
                </c:pt>
                <c:pt idx="145">
                  <c:v>17.619347833866701</c:v>
                </c:pt>
                <c:pt idx="146">
                  <c:v>17.740860577548542</c:v>
                </c:pt>
                <c:pt idx="147">
                  <c:v>17.862373321230383</c:v>
                </c:pt>
                <c:pt idx="148">
                  <c:v>17.983886064912223</c:v>
                </c:pt>
                <c:pt idx="149">
                  <c:v>18.105398808594064</c:v>
                </c:pt>
                <c:pt idx="150">
                  <c:v>18.226911552275904</c:v>
                </c:pt>
                <c:pt idx="151">
                  <c:v>18.348424295957745</c:v>
                </c:pt>
                <c:pt idx="152">
                  <c:v>18.469937039639586</c:v>
                </c:pt>
                <c:pt idx="153">
                  <c:v>18.591449783321426</c:v>
                </c:pt>
                <c:pt idx="154">
                  <c:v>18.712962527003267</c:v>
                </c:pt>
                <c:pt idx="155">
                  <c:v>18.834475270685108</c:v>
                </c:pt>
                <c:pt idx="156">
                  <c:v>18.955988014366948</c:v>
                </c:pt>
                <c:pt idx="157">
                  <c:v>19.077500758048789</c:v>
                </c:pt>
                <c:pt idx="158">
                  <c:v>19.199013501730629</c:v>
                </c:pt>
                <c:pt idx="159">
                  <c:v>19.32052624541247</c:v>
                </c:pt>
                <c:pt idx="160">
                  <c:v>19.442038989094311</c:v>
                </c:pt>
                <c:pt idx="161">
                  <c:v>19.563551732776151</c:v>
                </c:pt>
                <c:pt idx="162">
                  <c:v>19.685064476457992</c:v>
                </c:pt>
                <c:pt idx="163">
                  <c:v>19.806577220139832</c:v>
                </c:pt>
                <c:pt idx="164">
                  <c:v>19.928089963821673</c:v>
                </c:pt>
                <c:pt idx="165">
                  <c:v>20.049602707503514</c:v>
                </c:pt>
                <c:pt idx="166">
                  <c:v>20.171115451185354</c:v>
                </c:pt>
                <c:pt idx="167">
                  <c:v>20.292628194867195</c:v>
                </c:pt>
                <c:pt idx="168">
                  <c:v>20.414140938549036</c:v>
                </c:pt>
                <c:pt idx="169">
                  <c:v>20.535653682230876</c:v>
                </c:pt>
                <c:pt idx="170">
                  <c:v>20.657166425912717</c:v>
                </c:pt>
                <c:pt idx="171">
                  <c:v>20.778679169594557</c:v>
                </c:pt>
                <c:pt idx="172">
                  <c:v>20.900191913276398</c:v>
                </c:pt>
                <c:pt idx="173">
                  <c:v>21.021704656958239</c:v>
                </c:pt>
                <c:pt idx="174">
                  <c:v>21.143217400640079</c:v>
                </c:pt>
                <c:pt idx="175">
                  <c:v>21.26473014432192</c:v>
                </c:pt>
                <c:pt idx="176">
                  <c:v>21.38624288800376</c:v>
                </c:pt>
                <c:pt idx="177">
                  <c:v>21.507755631685601</c:v>
                </c:pt>
                <c:pt idx="178">
                  <c:v>21.629268375367442</c:v>
                </c:pt>
                <c:pt idx="179">
                  <c:v>21.750781119049282</c:v>
                </c:pt>
                <c:pt idx="180">
                  <c:v>21.872293862731123</c:v>
                </c:pt>
                <c:pt idx="181">
                  <c:v>21.993806606412964</c:v>
                </c:pt>
                <c:pt idx="182">
                  <c:v>22.115319350094804</c:v>
                </c:pt>
                <c:pt idx="183">
                  <c:v>22.236832093776645</c:v>
                </c:pt>
                <c:pt idx="184">
                  <c:v>22.358344837458485</c:v>
                </c:pt>
                <c:pt idx="185">
                  <c:v>22.479857581140326</c:v>
                </c:pt>
                <c:pt idx="186">
                  <c:v>22.601370324822167</c:v>
                </c:pt>
                <c:pt idx="187">
                  <c:v>22.722883068504007</c:v>
                </c:pt>
                <c:pt idx="188">
                  <c:v>22.844395812185848</c:v>
                </c:pt>
                <c:pt idx="189">
                  <c:v>22.965908555867689</c:v>
                </c:pt>
                <c:pt idx="190">
                  <c:v>23.087421299549529</c:v>
                </c:pt>
                <c:pt idx="191">
                  <c:v>23.20893404323137</c:v>
                </c:pt>
                <c:pt idx="192">
                  <c:v>23.33044678691321</c:v>
                </c:pt>
                <c:pt idx="193">
                  <c:v>23.451959530595051</c:v>
                </c:pt>
                <c:pt idx="194">
                  <c:v>23.573472274276892</c:v>
                </c:pt>
                <c:pt idx="195">
                  <c:v>23.694985017958732</c:v>
                </c:pt>
                <c:pt idx="196">
                  <c:v>23.816497761640573</c:v>
                </c:pt>
                <c:pt idx="197">
                  <c:v>23.938010505322413</c:v>
                </c:pt>
                <c:pt idx="198">
                  <c:v>24.059523249004254</c:v>
                </c:pt>
                <c:pt idx="199">
                  <c:v>24.181035992686095</c:v>
                </c:pt>
              </c:numCache>
            </c:numRef>
          </c:cat>
          <c:val>
            <c:numRef>
              <c:f>Hill_Saturation!$U$3:$U$202</c:f>
              <c:numCache>
                <c:formatCode>General</c:formatCode>
                <c:ptCount val="200"/>
                <c:pt idx="0">
                  <c:v>0</c:v>
                </c:pt>
                <c:pt idx="1">
                  <c:v>4.2377099768378147E-3</c:v>
                </c:pt>
                <c:pt idx="2">
                  <c:v>1.0370204301512892E-2</c:v>
                </c:pt>
                <c:pt idx="3">
                  <c:v>1.7441806663186083E-2</c:v>
                </c:pt>
                <c:pt idx="4">
                  <c:v>2.5153012024958201E-2</c:v>
                </c:pt>
                <c:pt idx="5">
                  <c:v>3.3335897519025444E-2</c:v>
                </c:pt>
                <c:pt idx="6">
                  <c:v>4.1878652352778413E-2</c:v>
                </c:pt>
                <c:pt idx="7">
                  <c:v>5.0699836992011804E-2</c:v>
                </c:pt>
                <c:pt idx="8">
                  <c:v>5.973680300067423E-2</c:v>
                </c:pt>
                <c:pt idx="9">
                  <c:v>6.8939587312319486E-2</c:v>
                </c:pt>
                <c:pt idx="10">
                  <c:v>7.8267332969280762E-2</c:v>
                </c:pt>
                <c:pt idx="11">
                  <c:v>8.768602329967029E-2</c:v>
                </c:pt>
                <c:pt idx="12">
                  <c:v>9.7166960819009954E-2</c:v>
                </c:pt>
                <c:pt idx="13">
                  <c:v>0.10668569749377781</c:v>
                </c:pt>
                <c:pt idx="14">
                  <c:v>0.11622125349472978</c:v>
                </c:pt>
                <c:pt idx="15">
                  <c:v>0.12575552855419139</c:v>
                </c:pt>
                <c:pt idx="16">
                  <c:v>0.13527284669856857</c:v>
                </c:pt>
                <c:pt idx="17">
                  <c:v>0.14475959626767271</c:v>
                </c:pt>
                <c:pt idx="18">
                  <c:v>0.15420393987174941</c:v>
                </c:pt>
                <c:pt idx="19">
                  <c:v>0.16359557690646173</c:v>
                </c:pt>
                <c:pt idx="20">
                  <c:v>0.17292554639516386</c:v>
                </c:pt>
                <c:pt idx="21">
                  <c:v>0.18218606134995535</c:v>
                </c:pt>
                <c:pt idx="22">
                  <c:v>0.19137036817488476</c:v>
                </c:pt>
                <c:pt idx="23">
                  <c:v>0.20047262625940129</c:v>
                </c:pt>
                <c:pt idx="24">
                  <c:v>0.20948780406509379</c:v>
                </c:pt>
                <c:pt idx="25">
                  <c:v>0.21841158884481143</c:v>
                </c:pt>
                <c:pt idx="26">
                  <c:v>0.22724030774860909</c:v>
                </c:pt>
                <c:pt idx="27">
                  <c:v>0.23597085853083907</c:v>
                </c:pt>
                <c:pt idx="28">
                  <c:v>0.24460064842128659</c:v>
                </c:pt>
                <c:pt idx="29">
                  <c:v>0.25312753999093957</c:v>
                </c:pt>
                <c:pt idx="30">
                  <c:v>0.2615498030510976</c:v>
                </c:pt>
                <c:pt idx="31">
                  <c:v>0.26986607178817168</c:v>
                </c:pt>
                <c:pt idx="32">
                  <c:v>0.27807530646660122</c:v>
                </c:pt>
                <c:pt idx="33">
                  <c:v>0.2861767591367429</c:v>
                </c:pt>
                <c:pt idx="34">
                  <c:v>0.29416994286921966</c:v>
                </c:pt>
                <c:pt idx="35">
                  <c:v>0.30205460410642632</c:v>
                </c:pt>
                <c:pt idx="36">
                  <c:v>0.3098306977789464</c:v>
                </c:pt>
                <c:pt idx="37">
                  <c:v>0.3174983648820518</c:v>
                </c:pt>
                <c:pt idx="38">
                  <c:v>0.32505791224714725</c:v>
                </c:pt>
                <c:pt idx="39">
                  <c:v>0.33250979427647331</c:v>
                </c:pt>
                <c:pt idx="40">
                  <c:v>0.33985459643775762</c:v>
                </c:pt>
                <c:pt idx="41">
                  <c:v>0.34709302033971717</c:v>
                </c:pt>
                <c:pt idx="42">
                  <c:v>0.35422587023008628</c:v>
                </c:pt>
                <c:pt idx="43">
                  <c:v>0.36125404077576811</c:v>
                </c:pt>
                <c:pt idx="44">
                  <c:v>0.36817850600023344</c:v>
                </c:pt>
                <c:pt idx="45">
                  <c:v>0.37500030926680544</c:v>
                </c:pt>
                <c:pt idx="46">
                  <c:v>0.38172055420829004</c:v>
                </c:pt>
                <c:pt idx="47">
                  <c:v>0.38834039651376884</c:v>
                </c:pt>
                <c:pt idx="48">
                  <c:v>0.39486103649250465</c:v>
                </c:pt>
                <c:pt idx="49">
                  <c:v>0.40128371234296906</c:v>
                </c:pt>
                <c:pt idx="50">
                  <c:v>0.40760969406213959</c:v>
                </c:pt>
                <c:pt idx="51">
                  <c:v>0.41384027793656503</c:v>
                </c:pt>
                <c:pt idx="52">
                  <c:v>0.41997678156234131</c:v>
                </c:pt>
                <c:pt idx="53">
                  <c:v>0.42602053934618961</c:v>
                </c:pt>
                <c:pt idx="54">
                  <c:v>0.43197289844433623</c:v>
                </c:pt>
                <c:pt idx="55">
                  <c:v>0.43783521509994339</c:v>
                </c:pt>
                <c:pt idx="56">
                  <c:v>0.44360885134346723</c:v>
                </c:pt>
                <c:pt idx="57">
                  <c:v>0.44929517202359209</c:v>
                </c:pt>
                <c:pt idx="58">
                  <c:v>0.45489554213932837</c:v>
                </c:pt>
                <c:pt idx="59">
                  <c:v>0.46041132444652222</c:v>
                </c:pt>
                <c:pt idx="60">
                  <c:v>0.46584387731442034</c:v>
                </c:pt>
                <c:pt idx="61">
                  <c:v>0.47119455281010736</c:v>
                </c:pt>
                <c:pt idx="62">
                  <c:v>0.47646469499059402</c:v>
                </c:pt>
                <c:pt idx="63">
                  <c:v>0.48165563838412084</c:v>
                </c:pt>
                <c:pt idx="64">
                  <c:v>0.4867687066438553</c:v>
                </c:pt>
                <c:pt idx="65">
                  <c:v>0.49180521135862865</c:v>
                </c:pt>
                <c:pt idx="66">
                  <c:v>0.49676645100669686</c:v>
                </c:pt>
                <c:pt idx="67">
                  <c:v>0.50165371003971782</c:v>
                </c:pt>
                <c:pt idx="68">
                  <c:v>0.50646825808524876</c:v>
                </c:pt>
                <c:pt idx="69">
                  <c:v>0.51121134925707068</c:v>
                </c:pt>
                <c:pt idx="70">
                  <c:v>0.51588422156356628</c:v>
                </c:pt>
                <c:pt idx="71">
                  <c:v>0.52048809640521176</c:v>
                </c:pt>
                <c:pt idx="72">
                  <c:v>0.52502417815301328</c:v>
                </c:pt>
                <c:pt idx="73">
                  <c:v>0.52949365380041025</c:v>
                </c:pt>
                <c:pt idx="74">
                  <c:v>0.53389769268180531</c:v>
                </c:pt>
                <c:pt idx="75">
                  <c:v>0.5382374462514693</c:v>
                </c:pt>
                <c:pt idx="76">
                  <c:v>0.54251404791709434</c:v>
                </c:pt>
                <c:pt idx="77">
                  <c:v>0.54672861292275821</c:v>
                </c:pt>
                <c:pt idx="78">
                  <c:v>0.55088223827651339</c:v>
                </c:pt>
                <c:pt idx="79">
                  <c:v>0.55497600271821079</c:v>
                </c:pt>
                <c:pt idx="80">
                  <c:v>0.55901096672355577</c:v>
                </c:pt>
                <c:pt idx="81">
                  <c:v>0.56298817254072242</c:v>
                </c:pt>
                <c:pt idx="82">
                  <c:v>0.56690864425617604</c:v>
                </c:pt>
                <c:pt idx="83">
                  <c:v>0.57077338788663379</c:v>
                </c:pt>
                <c:pt idx="84">
                  <c:v>0.57458339149436255</c:v>
                </c:pt>
                <c:pt idx="85">
                  <c:v>0.57833962532324557</c:v>
                </c:pt>
                <c:pt idx="86">
                  <c:v>0.58204304195328027</c:v>
                </c:pt>
                <c:pt idx="87">
                  <c:v>0.58569457647136669</c:v>
                </c:pt>
                <c:pt idx="88">
                  <c:v>0.58929514665643357</c:v>
                </c:pt>
                <c:pt idx="89">
                  <c:v>0.59284565317711679</c:v>
                </c:pt>
                <c:pt idx="90">
                  <c:v>0.59634697980036777</c:v>
                </c:pt>
                <c:pt idx="91">
                  <c:v>0.59979999360950598</c:v>
                </c:pt>
                <c:pt idx="92">
                  <c:v>0.60320554523036518</c:v>
                </c:pt>
                <c:pt idx="93">
                  <c:v>0.60656446906430428</c:v>
                </c:pt>
                <c:pt idx="94">
                  <c:v>0.6098775835269612</c:v>
                </c:pt>
                <c:pt idx="95">
                  <c:v>0.61314569129173291</c:v>
                </c:pt>
                <c:pt idx="96">
                  <c:v>0.61636957953705851</c:v>
                </c:pt>
                <c:pt idx="97">
                  <c:v>0.61955002019666294</c:v>
                </c:pt>
                <c:pt idx="98">
                  <c:v>0.62268777021200439</c:v>
                </c:pt>
                <c:pt idx="99">
                  <c:v>0.62578357178623545</c:v>
                </c:pt>
                <c:pt idx="100">
                  <c:v>0.62883815263905352</c:v>
                </c:pt>
                <c:pt idx="101">
                  <c:v>0.63185222626188597</c:v>
                </c:pt>
                <c:pt idx="102">
                  <c:v>0.63482649217289122</c:v>
                </c:pt>
                <c:pt idx="103">
                  <c:v>0.63776163617133508</c:v>
                </c:pt>
                <c:pt idx="104">
                  <c:v>0.64065833059092159</c:v>
                </c:pt>
                <c:pt idx="105">
                  <c:v>0.64351723455171894</c:v>
                </c:pt>
                <c:pt idx="106">
                  <c:v>0.64633899421035224</c:v>
                </c:pt>
                <c:pt idx="107">
                  <c:v>0.64912424300817029</c:v>
                </c:pt>
                <c:pt idx="108">
                  <c:v>0.65187360191713128</c:v>
                </c:pt>
                <c:pt idx="109">
                  <c:v>0.65458767968317744</c:v>
                </c:pt>
                <c:pt idx="110">
                  <c:v>0.65726707306689724</c:v>
                </c:pt>
                <c:pt idx="111">
                  <c:v>0.65991236708130174</c:v>
                </c:pt>
                <c:pt idx="112">
                  <c:v>0.66252413522656073</c:v>
                </c:pt>
                <c:pt idx="113">
                  <c:v>0.66510293972156764</c:v>
                </c:pt>
                <c:pt idx="114">
                  <c:v>0.66764933173221974</c:v>
                </c:pt>
                <c:pt idx="115">
                  <c:v>0.67016385159632019</c:v>
                </c:pt>
                <c:pt idx="116">
                  <c:v>0.67264702904502049</c:v>
                </c:pt>
                <c:pt idx="117">
                  <c:v>0.67509938342073994</c:v>
                </c:pt>
                <c:pt idx="118">
                  <c:v>0.67752142389150805</c:v>
                </c:pt>
                <c:pt idx="119">
                  <c:v>0.6799136496616941</c:v>
                </c:pt>
                <c:pt idx="120">
                  <c:v>0.68227655017909017</c:v>
                </c:pt>
                <c:pt idx="121">
                  <c:v>0.68461060533833074</c:v>
                </c:pt>
                <c:pt idx="122">
                  <c:v>0.68691628568063812</c:v>
                </c:pt>
                <c:pt idx="123">
                  <c:v>0.6891940525898913</c:v>
                </c:pt>
                <c:pt idx="124">
                  <c:v>0.69144435848502195</c:v>
                </c:pt>
                <c:pt idx="125">
                  <c:v>0.69366764700875128</c:v>
                </c:pt>
                <c:pt idx="126">
                  <c:v>0.69586435321267981</c:v>
                </c:pt>
                <c:pt idx="127">
                  <c:v>0.69803490373875998</c:v>
                </c:pt>
                <c:pt idx="128">
                  <c:v>0.70017971699716919</c:v>
                </c:pt>
                <c:pt idx="129">
                  <c:v>0.70229920334062446</c:v>
                </c:pt>
                <c:pt idx="130">
                  <c:v>0.70439376523516273</c:v>
                </c:pt>
                <c:pt idx="131">
                  <c:v>0.70646379742743526</c:v>
                </c:pt>
                <c:pt idx="132">
                  <c:v>0.70850968710854834</c:v>
                </c:pt>
                <c:pt idx="133">
                  <c:v>0.71053181407449906</c:v>
                </c:pt>
                <c:pt idx="134">
                  <c:v>0.71253055088324957</c:v>
                </c:pt>
                <c:pt idx="135">
                  <c:v>0.71450626300848574</c:v>
                </c:pt>
                <c:pt idx="136">
                  <c:v>0.7164593089901139</c:v>
                </c:pt>
                <c:pt idx="137">
                  <c:v>0.71839004058153877</c:v>
                </c:pt>
                <c:pt idx="138">
                  <c:v>0.72029880289378179</c:v>
                </c:pt>
                <c:pt idx="139">
                  <c:v>0.72218593453648605</c:v>
                </c:pt>
                <c:pt idx="140">
                  <c:v>0.72405176775586266</c:v>
                </c:pt>
                <c:pt idx="141">
                  <c:v>0.72589662856963388</c:v>
                </c:pt>
                <c:pt idx="142">
                  <c:v>0.72772083689902467</c:v>
                </c:pt>
                <c:pt idx="143">
                  <c:v>0.72952470669785729</c:v>
                </c:pt>
                <c:pt idx="144">
                  <c:v>0.73130854607880313</c:v>
                </c:pt>
                <c:pt idx="145">
                  <c:v>0.73307265743684813</c:v>
                </c:pt>
                <c:pt idx="146">
                  <c:v>0.73481733757002177</c:v>
                </c:pt>
                <c:pt idx="147">
                  <c:v>0.73654287779744676</c:v>
                </c:pt>
                <c:pt idx="148">
                  <c:v>0.73824956407476283</c:v>
                </c:pt>
                <c:pt idx="149">
                  <c:v>0.739937677106977</c:v>
                </c:pt>
                <c:pt idx="150">
                  <c:v>0.74160749245879221</c:v>
                </c:pt>
                <c:pt idx="151">
                  <c:v>0.74325928066246927</c:v>
                </c:pt>
                <c:pt idx="152">
                  <c:v>0.74489330732327286</c:v>
                </c:pt>
                <c:pt idx="153">
                  <c:v>0.74650983322255149</c:v>
                </c:pt>
                <c:pt idx="154">
                  <c:v>0.74810911441850303</c:v>
                </c:pt>
                <c:pt idx="155">
                  <c:v>0.74969140234467735</c:v>
                </c:pt>
                <c:pt idx="156">
                  <c:v>0.75125694390626208</c:v>
                </c:pt>
                <c:pt idx="157">
                  <c:v>0.75280598157420353</c:v>
                </c:pt>
                <c:pt idx="158">
                  <c:v>0.75433875347720702</c:v>
                </c:pt>
                <c:pt idx="159">
                  <c:v>0.75585549349166625</c:v>
                </c:pt>
                <c:pt idx="160">
                  <c:v>0.75735643132956787</c:v>
                </c:pt>
                <c:pt idx="161">
                  <c:v>0.75884179262441565</c:v>
                </c:pt>
                <c:pt idx="162">
                  <c:v>0.76031179901521706</c:v>
                </c:pt>
                <c:pt idx="163">
                  <c:v>0.76176666822858274</c:v>
                </c:pt>
                <c:pt idx="164">
                  <c:v>0.76320661415897373</c:v>
                </c:pt>
                <c:pt idx="165">
                  <c:v>0.76463184694714348</c:v>
                </c:pt>
                <c:pt idx="166">
                  <c:v>0.76604257305681689</c:v>
                </c:pt>
                <c:pt idx="167">
                  <c:v>0.76743899534964122</c:v>
                </c:pt>
                <c:pt idx="168">
                  <c:v>0.76882131315845792</c:v>
                </c:pt>
                <c:pt idx="169">
                  <c:v>0.77018972235892325</c:v>
                </c:pt>
                <c:pt idx="170">
                  <c:v>0.77154441543952679</c:v>
                </c:pt>
                <c:pt idx="171">
                  <c:v>0.77288558157003617</c:v>
                </c:pt>
                <c:pt idx="172">
                  <c:v>0.77421340666841143</c:v>
                </c:pt>
                <c:pt idx="173">
                  <c:v>0.7755280734662191</c:v>
                </c:pt>
                <c:pt idx="174">
                  <c:v>0.77682976157258676</c:v>
                </c:pt>
                <c:pt idx="175">
                  <c:v>0.7781186475367271</c:v>
                </c:pt>
                <c:pt idx="176">
                  <c:v>0.7793949049090686</c:v>
                </c:pt>
                <c:pt idx="177">
                  <c:v>0.78065870430102335</c:v>
                </c:pt>
                <c:pt idx="178">
                  <c:v>0.78191021344342637</c:v>
                </c:pt>
                <c:pt idx="179">
                  <c:v>0.78314959724367406</c:v>
                </c:pt>
                <c:pt idx="180">
                  <c:v>0.78437701784159786</c:v>
                </c:pt>
                <c:pt idx="181">
                  <c:v>0.7855926346640959</c:v>
                </c:pt>
                <c:pt idx="182">
                  <c:v>0.78679660447855948</c:v>
                </c:pt>
                <c:pt idx="183">
                  <c:v>0.78798908144511659</c:v>
                </c:pt>
                <c:pt idx="184">
                  <c:v>0.78917021716772406</c:v>
                </c:pt>
                <c:pt idx="185">
                  <c:v>0.79034016074413427</c:v>
                </c:pt>
                <c:pt idx="186">
                  <c:v>0.79149905881476224</c:v>
                </c:pt>
                <c:pt idx="187">
                  <c:v>0.79264705561048121</c:v>
                </c:pt>
                <c:pt idx="188">
                  <c:v>0.79378429299937026</c:v>
                </c:pt>
                <c:pt idx="189">
                  <c:v>0.79491091053243823</c:v>
                </c:pt>
                <c:pt idx="190">
                  <c:v>0.79602704548835035</c:v>
                </c:pt>
                <c:pt idx="191">
                  <c:v>0.79713283291717929</c:v>
                </c:pt>
                <c:pt idx="192">
                  <c:v>0.79822840568320363</c:v>
                </c:pt>
                <c:pt idx="193">
                  <c:v>0.79931389450677703</c:v>
                </c:pt>
                <c:pt idx="194">
                  <c:v>0.80038942800529023</c:v>
                </c:pt>
                <c:pt idx="195">
                  <c:v>0.80145513273324542</c:v>
                </c:pt>
                <c:pt idx="196">
                  <c:v>0.80251113322146628</c:v>
                </c:pt>
                <c:pt idx="197">
                  <c:v>0.80355755201546186</c:v>
                </c:pt>
                <c:pt idx="198">
                  <c:v>0.80459450971296598</c:v>
                </c:pt>
                <c:pt idx="199">
                  <c:v>0.80562212500066954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BB-4470-8DE4-E77911CF8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265503"/>
        <c:axId val="1271268383"/>
      </c:lineChart>
      <c:catAx>
        <c:axId val="12712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68383"/>
        <c:crosses val="autoZero"/>
        <c:auto val="1"/>
        <c:lblAlgn val="ctr"/>
        <c:lblOffset val="100"/>
        <c:noMultiLvlLbl val="0"/>
      </c:catAx>
      <c:valAx>
        <c:axId val="12712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6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Hill_Saturation!$V$2</c:f>
              <c:strCache>
                <c:ptCount val="1"/>
                <c:pt idx="0">
                  <c:v>fb_ig_spend_lakhs_sat_50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Hill_Saturation!$F$3:$F$202</c:f>
              <c:numCache>
                <c:formatCode>General</c:formatCode>
                <c:ptCount val="200"/>
                <c:pt idx="0">
                  <c:v>0</c:v>
                </c:pt>
                <c:pt idx="1">
                  <c:v>0.18582540986402851</c:v>
                </c:pt>
                <c:pt idx="2">
                  <c:v>0.37165081972805702</c:v>
                </c:pt>
                <c:pt idx="3">
                  <c:v>0.55747622959208554</c:v>
                </c:pt>
                <c:pt idx="4">
                  <c:v>0.74330163945611405</c:v>
                </c:pt>
                <c:pt idx="5">
                  <c:v>0.92912704932014256</c:v>
                </c:pt>
                <c:pt idx="6">
                  <c:v>1.1149524591841711</c:v>
                </c:pt>
                <c:pt idx="7">
                  <c:v>1.3007778690481997</c:v>
                </c:pt>
                <c:pt idx="8">
                  <c:v>1.4866032789122281</c:v>
                </c:pt>
                <c:pt idx="9">
                  <c:v>1.6724286887762565</c:v>
                </c:pt>
                <c:pt idx="10">
                  <c:v>1.8582540986402849</c:v>
                </c:pt>
                <c:pt idx="11">
                  <c:v>2.0440795085043133</c:v>
                </c:pt>
                <c:pt idx="12">
                  <c:v>2.2299049183683417</c:v>
                </c:pt>
                <c:pt idx="13">
                  <c:v>2.4157303282323701</c:v>
                </c:pt>
                <c:pt idx="14">
                  <c:v>2.6015557380963985</c:v>
                </c:pt>
                <c:pt idx="15">
                  <c:v>2.7873811479604269</c:v>
                </c:pt>
                <c:pt idx="16">
                  <c:v>2.9732065578244553</c:v>
                </c:pt>
                <c:pt idx="17">
                  <c:v>3.1590319676884837</c:v>
                </c:pt>
                <c:pt idx="18">
                  <c:v>3.3448573775525121</c:v>
                </c:pt>
                <c:pt idx="19">
                  <c:v>3.5306827874165405</c:v>
                </c:pt>
                <c:pt idx="20">
                  <c:v>3.7165081972805689</c:v>
                </c:pt>
                <c:pt idx="21">
                  <c:v>3.9023336071445973</c:v>
                </c:pt>
                <c:pt idx="22">
                  <c:v>4.0881590170086257</c:v>
                </c:pt>
                <c:pt idx="23">
                  <c:v>4.2739844268726541</c:v>
                </c:pt>
                <c:pt idx="24">
                  <c:v>4.4598098367366825</c:v>
                </c:pt>
                <c:pt idx="25">
                  <c:v>4.6456352466007109</c:v>
                </c:pt>
                <c:pt idx="26">
                  <c:v>4.8314606564647393</c:v>
                </c:pt>
                <c:pt idx="27">
                  <c:v>5.0172860663287677</c:v>
                </c:pt>
                <c:pt idx="28">
                  <c:v>5.2031114761927961</c:v>
                </c:pt>
                <c:pt idx="29">
                  <c:v>5.3889368860568245</c:v>
                </c:pt>
                <c:pt idx="30">
                  <c:v>5.5747622959208529</c:v>
                </c:pt>
                <c:pt idx="31">
                  <c:v>5.7605877057848813</c:v>
                </c:pt>
                <c:pt idx="32">
                  <c:v>5.9464131156489097</c:v>
                </c:pt>
                <c:pt idx="33">
                  <c:v>6.1322385255129381</c:v>
                </c:pt>
                <c:pt idx="34">
                  <c:v>6.3180639353769665</c:v>
                </c:pt>
                <c:pt idx="35">
                  <c:v>6.5038893452409949</c:v>
                </c:pt>
                <c:pt idx="36">
                  <c:v>6.6897147551050233</c:v>
                </c:pt>
                <c:pt idx="37">
                  <c:v>6.8755401649690517</c:v>
                </c:pt>
                <c:pt idx="38">
                  <c:v>7.0613655748330801</c:v>
                </c:pt>
                <c:pt idx="39">
                  <c:v>7.2471909846971085</c:v>
                </c:pt>
                <c:pt idx="40">
                  <c:v>7.4330163945611369</c:v>
                </c:pt>
                <c:pt idx="41">
                  <c:v>7.6188418044251653</c:v>
                </c:pt>
                <c:pt idx="42">
                  <c:v>7.8046672142891937</c:v>
                </c:pt>
                <c:pt idx="43">
                  <c:v>7.9904926241532221</c:v>
                </c:pt>
                <c:pt idx="44">
                  <c:v>8.1763180340172514</c:v>
                </c:pt>
                <c:pt idx="45">
                  <c:v>8.3621434438812798</c:v>
                </c:pt>
                <c:pt idx="46">
                  <c:v>8.5479688537453082</c:v>
                </c:pt>
                <c:pt idx="47">
                  <c:v>8.7337942636093366</c:v>
                </c:pt>
                <c:pt idx="48">
                  <c:v>8.919619673473365</c:v>
                </c:pt>
                <c:pt idx="49">
                  <c:v>9.1054450833373934</c:v>
                </c:pt>
                <c:pt idx="50">
                  <c:v>9.2912704932014218</c:v>
                </c:pt>
                <c:pt idx="51">
                  <c:v>9.4770959030654502</c:v>
                </c:pt>
                <c:pt idx="52">
                  <c:v>9.6629213129294786</c:v>
                </c:pt>
                <c:pt idx="53">
                  <c:v>9.848746722793507</c:v>
                </c:pt>
                <c:pt idx="54">
                  <c:v>10.034572132657535</c:v>
                </c:pt>
                <c:pt idx="55">
                  <c:v>10.220397542521564</c:v>
                </c:pt>
                <c:pt idx="56">
                  <c:v>10.406222952385592</c:v>
                </c:pt>
                <c:pt idx="57">
                  <c:v>10.592048362249621</c:v>
                </c:pt>
                <c:pt idx="58">
                  <c:v>10.777873772113649</c:v>
                </c:pt>
                <c:pt idx="59">
                  <c:v>10.963699181977677</c:v>
                </c:pt>
                <c:pt idx="60">
                  <c:v>11.149524591841706</c:v>
                </c:pt>
                <c:pt idx="61">
                  <c:v>11.335350001705734</c:v>
                </c:pt>
                <c:pt idx="62">
                  <c:v>11.521175411569763</c:v>
                </c:pt>
                <c:pt idx="63">
                  <c:v>11.707000821433791</c:v>
                </c:pt>
                <c:pt idx="64">
                  <c:v>11.892826231297819</c:v>
                </c:pt>
                <c:pt idx="65">
                  <c:v>12.078651641161848</c:v>
                </c:pt>
                <c:pt idx="66">
                  <c:v>12.264477051025876</c:v>
                </c:pt>
                <c:pt idx="67">
                  <c:v>12.450302460889905</c:v>
                </c:pt>
                <c:pt idx="68">
                  <c:v>12.636127870753933</c:v>
                </c:pt>
                <c:pt idx="69">
                  <c:v>12.821953280617961</c:v>
                </c:pt>
                <c:pt idx="70">
                  <c:v>13.00777869048199</c:v>
                </c:pt>
                <c:pt idx="71">
                  <c:v>13.193604100346018</c:v>
                </c:pt>
                <c:pt idx="72">
                  <c:v>13.379429510210047</c:v>
                </c:pt>
                <c:pt idx="73">
                  <c:v>13.565254920074075</c:v>
                </c:pt>
                <c:pt idx="74">
                  <c:v>13.751080329938103</c:v>
                </c:pt>
                <c:pt idx="75">
                  <c:v>13.936905739802132</c:v>
                </c:pt>
                <c:pt idx="76">
                  <c:v>14.12273114966616</c:v>
                </c:pt>
                <c:pt idx="77">
                  <c:v>14.308556559530189</c:v>
                </c:pt>
                <c:pt idx="78">
                  <c:v>14.494381969394217</c:v>
                </c:pt>
                <c:pt idx="79">
                  <c:v>14.680207379258245</c:v>
                </c:pt>
                <c:pt idx="80">
                  <c:v>14.866032789122274</c:v>
                </c:pt>
                <c:pt idx="81">
                  <c:v>15.051858198986302</c:v>
                </c:pt>
                <c:pt idx="82">
                  <c:v>15.237683608850331</c:v>
                </c:pt>
                <c:pt idx="83">
                  <c:v>15.423509018714359</c:v>
                </c:pt>
                <c:pt idx="84">
                  <c:v>15.609334428578387</c:v>
                </c:pt>
                <c:pt idx="85">
                  <c:v>15.795159838442416</c:v>
                </c:pt>
                <c:pt idx="86">
                  <c:v>15.980985248306444</c:v>
                </c:pt>
                <c:pt idx="87">
                  <c:v>16.166810658170473</c:v>
                </c:pt>
                <c:pt idx="88">
                  <c:v>16.352636068034503</c:v>
                </c:pt>
                <c:pt idx="89">
                  <c:v>16.538461477898533</c:v>
                </c:pt>
                <c:pt idx="90">
                  <c:v>16.724286887762563</c:v>
                </c:pt>
                <c:pt idx="91">
                  <c:v>16.910112297626593</c:v>
                </c:pt>
                <c:pt idx="92">
                  <c:v>17.095937707490624</c:v>
                </c:pt>
                <c:pt idx="93">
                  <c:v>17.281763117354654</c:v>
                </c:pt>
                <c:pt idx="94">
                  <c:v>17.467588527218684</c:v>
                </c:pt>
                <c:pt idx="95">
                  <c:v>17.653413937082714</c:v>
                </c:pt>
                <c:pt idx="96">
                  <c:v>17.839239346946744</c:v>
                </c:pt>
                <c:pt idx="97">
                  <c:v>18.025064756810774</c:v>
                </c:pt>
                <c:pt idx="98">
                  <c:v>18.210890166674805</c:v>
                </c:pt>
                <c:pt idx="99">
                  <c:v>18.396715576538835</c:v>
                </c:pt>
                <c:pt idx="100">
                  <c:v>18.582540986402865</c:v>
                </c:pt>
                <c:pt idx="101">
                  <c:v>18.768366396266895</c:v>
                </c:pt>
                <c:pt idx="102">
                  <c:v>18.954191806130925</c:v>
                </c:pt>
                <c:pt idx="103">
                  <c:v>19.140017215994956</c:v>
                </c:pt>
                <c:pt idx="104">
                  <c:v>19.325842625858986</c:v>
                </c:pt>
                <c:pt idx="105">
                  <c:v>19.511668035723016</c:v>
                </c:pt>
                <c:pt idx="106">
                  <c:v>19.697493445587046</c:v>
                </c:pt>
                <c:pt idx="107">
                  <c:v>19.883318855451076</c:v>
                </c:pt>
                <c:pt idx="108">
                  <c:v>20.069144265315106</c:v>
                </c:pt>
                <c:pt idx="109">
                  <c:v>20.254969675179137</c:v>
                </c:pt>
                <c:pt idx="110">
                  <c:v>20.440795085043167</c:v>
                </c:pt>
                <c:pt idx="111">
                  <c:v>20.626620494907197</c:v>
                </c:pt>
                <c:pt idx="112">
                  <c:v>20.812445904771227</c:v>
                </c:pt>
                <c:pt idx="113">
                  <c:v>20.998271314635257</c:v>
                </c:pt>
                <c:pt idx="114">
                  <c:v>21.184096724499287</c:v>
                </c:pt>
                <c:pt idx="115">
                  <c:v>21.369922134363318</c:v>
                </c:pt>
                <c:pt idx="116">
                  <c:v>21.555747544227348</c:v>
                </c:pt>
                <c:pt idx="117">
                  <c:v>21.741572954091378</c:v>
                </c:pt>
                <c:pt idx="118">
                  <c:v>21.927398363955408</c:v>
                </c:pt>
                <c:pt idx="119">
                  <c:v>22.113223773819438</c:v>
                </c:pt>
                <c:pt idx="120">
                  <c:v>22.299049183683469</c:v>
                </c:pt>
                <c:pt idx="121">
                  <c:v>22.484874593547499</c:v>
                </c:pt>
                <c:pt idx="122">
                  <c:v>22.670700003411529</c:v>
                </c:pt>
                <c:pt idx="123">
                  <c:v>22.856525413275559</c:v>
                </c:pt>
                <c:pt idx="124">
                  <c:v>23.042350823139589</c:v>
                </c:pt>
                <c:pt idx="125">
                  <c:v>23.228176233003619</c:v>
                </c:pt>
                <c:pt idx="126">
                  <c:v>23.41400164286765</c:v>
                </c:pt>
                <c:pt idx="127">
                  <c:v>23.59982705273168</c:v>
                </c:pt>
                <c:pt idx="128">
                  <c:v>23.78565246259571</c:v>
                </c:pt>
                <c:pt idx="129">
                  <c:v>23.97147787245974</c:v>
                </c:pt>
                <c:pt idx="130">
                  <c:v>24.15730328232377</c:v>
                </c:pt>
                <c:pt idx="131">
                  <c:v>24.343128692187801</c:v>
                </c:pt>
                <c:pt idx="132">
                  <c:v>24.528954102051831</c:v>
                </c:pt>
                <c:pt idx="133">
                  <c:v>24.714779511915861</c:v>
                </c:pt>
                <c:pt idx="134">
                  <c:v>24.900604921779891</c:v>
                </c:pt>
                <c:pt idx="135">
                  <c:v>25.086430331643921</c:v>
                </c:pt>
                <c:pt idx="136">
                  <c:v>25.272255741507951</c:v>
                </c:pt>
                <c:pt idx="137">
                  <c:v>25.458081151371982</c:v>
                </c:pt>
                <c:pt idx="138">
                  <c:v>25.643906561236012</c:v>
                </c:pt>
                <c:pt idx="139">
                  <c:v>25.829731971100042</c:v>
                </c:pt>
                <c:pt idx="140">
                  <c:v>26.015557380964072</c:v>
                </c:pt>
                <c:pt idx="141">
                  <c:v>26.201382790828102</c:v>
                </c:pt>
                <c:pt idx="142">
                  <c:v>26.387208200692132</c:v>
                </c:pt>
                <c:pt idx="143">
                  <c:v>26.573033610556163</c:v>
                </c:pt>
                <c:pt idx="144">
                  <c:v>26.758859020420193</c:v>
                </c:pt>
                <c:pt idx="145">
                  <c:v>26.944684430284223</c:v>
                </c:pt>
                <c:pt idx="146">
                  <c:v>27.130509840148253</c:v>
                </c:pt>
                <c:pt idx="147">
                  <c:v>27.316335250012283</c:v>
                </c:pt>
                <c:pt idx="148">
                  <c:v>27.502160659876314</c:v>
                </c:pt>
                <c:pt idx="149">
                  <c:v>27.687986069740344</c:v>
                </c:pt>
                <c:pt idx="150">
                  <c:v>27.873811479604374</c:v>
                </c:pt>
                <c:pt idx="151">
                  <c:v>28.059636889468404</c:v>
                </c:pt>
                <c:pt idx="152">
                  <c:v>28.245462299332434</c:v>
                </c:pt>
                <c:pt idx="153">
                  <c:v>28.431287709196464</c:v>
                </c:pt>
                <c:pt idx="154">
                  <c:v>28.617113119060495</c:v>
                </c:pt>
                <c:pt idx="155">
                  <c:v>28.802938528924525</c:v>
                </c:pt>
                <c:pt idx="156">
                  <c:v>28.988763938788555</c:v>
                </c:pt>
                <c:pt idx="157">
                  <c:v>29.174589348652585</c:v>
                </c:pt>
                <c:pt idx="158">
                  <c:v>29.360414758516615</c:v>
                </c:pt>
                <c:pt idx="159">
                  <c:v>29.546240168380645</c:v>
                </c:pt>
                <c:pt idx="160">
                  <c:v>29.732065578244676</c:v>
                </c:pt>
                <c:pt idx="161">
                  <c:v>29.917890988108706</c:v>
                </c:pt>
                <c:pt idx="162">
                  <c:v>30.103716397972736</c:v>
                </c:pt>
                <c:pt idx="163">
                  <c:v>30.289541807836766</c:v>
                </c:pt>
                <c:pt idx="164">
                  <c:v>30.475367217700796</c:v>
                </c:pt>
                <c:pt idx="165">
                  <c:v>30.661192627564827</c:v>
                </c:pt>
                <c:pt idx="166">
                  <c:v>30.847018037428857</c:v>
                </c:pt>
                <c:pt idx="167">
                  <c:v>31.032843447292887</c:v>
                </c:pt>
                <c:pt idx="168">
                  <c:v>31.218668857156917</c:v>
                </c:pt>
                <c:pt idx="169">
                  <c:v>31.404494267020947</c:v>
                </c:pt>
                <c:pt idx="170">
                  <c:v>31.590319676884977</c:v>
                </c:pt>
                <c:pt idx="171">
                  <c:v>31.776145086749008</c:v>
                </c:pt>
                <c:pt idx="172">
                  <c:v>31.961970496613038</c:v>
                </c:pt>
                <c:pt idx="173">
                  <c:v>32.147795906477064</c:v>
                </c:pt>
                <c:pt idx="174">
                  <c:v>32.333621316341095</c:v>
                </c:pt>
                <c:pt idx="175">
                  <c:v>32.519446726205125</c:v>
                </c:pt>
                <c:pt idx="176">
                  <c:v>32.705272136069155</c:v>
                </c:pt>
                <c:pt idx="177">
                  <c:v>32.891097545933185</c:v>
                </c:pt>
                <c:pt idx="178">
                  <c:v>33.076922955797215</c:v>
                </c:pt>
                <c:pt idx="179">
                  <c:v>33.262748365661245</c:v>
                </c:pt>
                <c:pt idx="180">
                  <c:v>33.448573775525276</c:v>
                </c:pt>
                <c:pt idx="181">
                  <c:v>33.634399185389306</c:v>
                </c:pt>
                <c:pt idx="182">
                  <c:v>33.820224595253336</c:v>
                </c:pt>
                <c:pt idx="183">
                  <c:v>34.006050005117366</c:v>
                </c:pt>
                <c:pt idx="184">
                  <c:v>34.191875414981396</c:v>
                </c:pt>
                <c:pt idx="185">
                  <c:v>34.377700824845427</c:v>
                </c:pt>
                <c:pt idx="186">
                  <c:v>34.563526234709457</c:v>
                </c:pt>
                <c:pt idx="187">
                  <c:v>34.749351644573487</c:v>
                </c:pt>
                <c:pt idx="188">
                  <c:v>34.935177054437517</c:v>
                </c:pt>
                <c:pt idx="189">
                  <c:v>35.121002464301547</c:v>
                </c:pt>
                <c:pt idx="190">
                  <c:v>35.306827874165577</c:v>
                </c:pt>
                <c:pt idx="191">
                  <c:v>35.492653284029608</c:v>
                </c:pt>
                <c:pt idx="192">
                  <c:v>35.678478693893638</c:v>
                </c:pt>
                <c:pt idx="193">
                  <c:v>35.864304103757668</c:v>
                </c:pt>
                <c:pt idx="194">
                  <c:v>36.050129513621698</c:v>
                </c:pt>
                <c:pt idx="195">
                  <c:v>36.235954923485728</c:v>
                </c:pt>
                <c:pt idx="196">
                  <c:v>36.421780333349759</c:v>
                </c:pt>
                <c:pt idx="197">
                  <c:v>36.607605743213789</c:v>
                </c:pt>
                <c:pt idx="198">
                  <c:v>36.793431153077819</c:v>
                </c:pt>
                <c:pt idx="199">
                  <c:v>36.979256562941849</c:v>
                </c:pt>
              </c:numCache>
            </c:numRef>
          </c:cat>
          <c:val>
            <c:numRef>
              <c:f>Hill_Saturation!$V$3:$V$202</c:f>
              <c:numCache>
                <c:formatCode>General</c:formatCode>
                <c:ptCount val="200"/>
                <c:pt idx="0">
                  <c:v>0</c:v>
                </c:pt>
                <c:pt idx="1">
                  <c:v>1.7106826400697356E-2</c:v>
                </c:pt>
                <c:pt idx="2">
                  <c:v>4.1093976702622159E-2</c:v>
                </c:pt>
                <c:pt idx="3">
                  <c:v>6.768369213790823E-2</c:v>
                </c:pt>
                <c:pt idx="4">
                  <c:v>9.5449555347728782E-2</c:v>
                </c:pt>
                <c:pt idx="5">
                  <c:v>0.12360200366991392</c:v>
                </c:pt>
                <c:pt idx="6">
                  <c:v>0.15164774995383104</c:v>
                </c:pt>
                <c:pt idx="7">
                  <c:v>0.1792643326550144</c:v>
                </c:pt>
                <c:pt idx="8">
                  <c:v>0.2062386513562553</c:v>
                </c:pt>
                <c:pt idx="9">
                  <c:v>0.2324317260507906</c:v>
                </c:pt>
                <c:pt idx="10">
                  <c:v>0.25775645881073828</c:v>
                </c:pt>
                <c:pt idx="11">
                  <c:v>0.28216271814763116</c:v>
                </c:pt>
                <c:pt idx="12">
                  <c:v>0.30562692971989908</c:v>
                </c:pt>
                <c:pt idx="13">
                  <c:v>0.32814461913278792</c:v>
                </c:pt>
                <c:pt idx="14">
                  <c:v>0.34972497627116783</c:v>
                </c:pt>
                <c:pt idx="15">
                  <c:v>0.3703868483196146</c:v>
                </c:pt>
                <c:pt idx="16">
                  <c:v>0.39015576556430231</c:v>
                </c:pt>
                <c:pt idx="17">
                  <c:v>0.40906172602862673</c:v>
                </c:pt>
                <c:pt idx="18">
                  <c:v>0.42713754424603062</c:v>
                </c:pt>
                <c:pt idx="19">
                  <c:v>0.44441762297963211</c:v>
                </c:pt>
                <c:pt idx="20">
                  <c:v>0.46093704392404417</c:v>
                </c:pt>
                <c:pt idx="21">
                  <c:v>0.47673089993950807</c:v>
                </c:pt>
                <c:pt idx="22">
                  <c:v>0.49183381060408099</c:v>
                </c:pt>
                <c:pt idx="23">
                  <c:v>0.50627957702689319</c:v>
                </c:pt>
                <c:pt idx="24">
                  <c:v>0.52010094240419391</c:v>
                </c:pt>
                <c:pt idx="25">
                  <c:v>0.53332943271610889</c:v>
                </c:pt>
                <c:pt idx="26">
                  <c:v>0.54599525795151715</c:v>
                </c:pt>
                <c:pt idx="27">
                  <c:v>0.55812725880669267</c:v>
                </c:pt>
                <c:pt idx="28">
                  <c:v>0.56975288728882101</c:v>
                </c:pt>
                <c:pt idx="29">
                  <c:v>0.58089821233090488</c:v>
                </c:pt>
                <c:pt idx="30">
                  <c:v>0.59158794358453537</c:v>
                </c:pt>
                <c:pt idx="31">
                  <c:v>0.60184546814699968</c:v>
                </c:pt>
                <c:pt idx="32">
                  <c:v>0.61169289620873157</c:v>
                </c:pt>
                <c:pt idx="33">
                  <c:v>0.62115111255918642</c:v>
                </c:pt>
                <c:pt idx="34">
                  <c:v>0.63023983162704045</c:v>
                </c:pt>
                <c:pt idx="35">
                  <c:v>0.63897765430257492</c:v>
                </c:pt>
                <c:pt idx="36">
                  <c:v>0.64738212523334315</c:v>
                </c:pt>
                <c:pt idx="37">
                  <c:v>0.65546978962743319</c:v>
                </c:pt>
                <c:pt idx="38">
                  <c:v>0.66325624886395307</c:v>
                </c:pt>
                <c:pt idx="39">
                  <c:v>0.6707562144150051</c:v>
                </c:pt>
                <c:pt idx="40">
                  <c:v>0.6779835597407009</c:v>
                </c:pt>
                <c:pt idx="41">
                  <c:v>0.68495136993914174</c:v>
                </c:pt>
                <c:pt idx="42">
                  <c:v>0.69167198902484894</c:v>
                </c:pt>
                <c:pt idx="43">
                  <c:v>0.69815706477821327</c:v>
                </c:pt>
                <c:pt idx="44">
                  <c:v>0.70441759116014102</c:v>
                </c:pt>
                <c:pt idx="45">
                  <c:v>0.71046394832405591</c:v>
                </c:pt>
                <c:pt idx="46">
                  <c:v>0.71630594028484318</c:v>
                </c:pt>
                <c:pt idx="47">
                  <c:v>0.72195283032358615</c:v>
                </c:pt>
                <c:pt idx="48">
                  <c:v>0.72741337421990415</c:v>
                </c:pt>
                <c:pt idx="49">
                  <c:v>0.73269585141184845</c:v>
                </c:pt>
                <c:pt idx="50">
                  <c:v>0.73780809418777382</c:v>
                </c:pt>
                <c:pt idx="51">
                  <c:v>0.74275751501631315</c:v>
                </c:pt>
                <c:pt idx="52">
                  <c:v>0.74755113212020963</c:v>
                </c:pt>
                <c:pt idx="53">
                  <c:v>0.75219559339789022</c:v>
                </c:pt>
                <c:pt idx="54">
                  <c:v>0.75669719879369468</c:v>
                </c:pt>
                <c:pt idx="55">
                  <c:v>0.76106192121395921</c:v>
                </c:pt>
                <c:pt idx="56">
                  <c:v>0.76529542608193546</c:v>
                </c:pt>
                <c:pt idx="57">
                  <c:v>0.76940308962000525</c:v>
                </c:pt>
                <c:pt idx="58">
                  <c:v>0.77339001594298029</c:v>
                </c:pt>
                <c:pt idx="59">
                  <c:v>0.7772610530415589</c:v>
                </c:pt>
                <c:pt idx="60">
                  <c:v>0.78102080773034599</c:v>
                </c:pt>
                <c:pt idx="61">
                  <c:v>0.78467365963026692</c:v>
                </c:pt>
                <c:pt idx="62">
                  <c:v>0.78822377425079393</c:v>
                </c:pt>
                <c:pt idx="63">
                  <c:v>0.79167511523314937</c:v>
                </c:pt>
                <c:pt idx="64">
                  <c:v>0.79503145581161094</c:v>
                </c:pt>
                <c:pt idx="65">
                  <c:v>0.79829638954619564</c:v>
                </c:pt>
                <c:pt idx="66">
                  <c:v>0.80147334037636886</c:v>
                </c:pt>
                <c:pt idx="67">
                  <c:v>0.8045655720420124</c:v>
                </c:pt>
                <c:pt idx="68">
                  <c:v>0.80757619691466709</c:v>
                </c:pt>
                <c:pt idx="69">
                  <c:v>0.8105081842790709</c:v>
                </c:pt>
                <c:pt idx="70">
                  <c:v>0.81336436810219404</c:v>
                </c:pt>
                <c:pt idx="71">
                  <c:v>0.81614745432435687</c:v>
                </c:pt>
                <c:pt idx="72">
                  <c:v>0.81886002770457322</c:v>
                </c:pt>
                <c:pt idx="73">
                  <c:v>0.82150455824998558</c:v>
                </c:pt>
                <c:pt idx="74">
                  <c:v>0.82408340725714802</c:v>
                </c:pt>
                <c:pt idx="75">
                  <c:v>0.82659883299094772</c:v>
                </c:pt>
                <c:pt idx="76">
                  <c:v>0.82905299602512839</c:v>
                </c:pt>
                <c:pt idx="77">
                  <c:v>0.83144796426669343</c:v>
                </c:pt>
                <c:pt idx="78">
                  <c:v>0.83378571768489129</c:v>
                </c:pt>
                <c:pt idx="79">
                  <c:v>0.83606815276403024</c:v>
                </c:pt>
                <c:pt idx="80">
                  <c:v>0.83829708669802361</c:v>
                </c:pt>
                <c:pt idx="81">
                  <c:v>0.84047426134330916</c:v>
                </c:pt>
                <c:pt idx="82">
                  <c:v>0.84260134694563105</c:v>
                </c:pt>
                <c:pt idx="83">
                  <c:v>0.84467994565509696</c:v>
                </c:pt>
                <c:pt idx="84">
                  <c:v>0.84671159484292235</c:v>
                </c:pt>
                <c:pt idx="85">
                  <c:v>0.8486977702323566</c:v>
                </c:pt>
                <c:pt idx="86">
                  <c:v>0.85063988885542119</c:v>
                </c:pt>
                <c:pt idx="87">
                  <c:v>0.85253931184630483</c:v>
                </c:pt>
                <c:pt idx="88">
                  <c:v>0.85439734708151549</c:v>
                </c:pt>
                <c:pt idx="89">
                  <c:v>0.85621525167621049</c:v>
                </c:pt>
                <c:pt idx="90">
                  <c:v>0.85799423434549393</c:v>
                </c:pt>
                <c:pt idx="91">
                  <c:v>0.8597354576388756</c:v>
                </c:pt>
                <c:pt idx="92">
                  <c:v>0.86144004005554764</c:v>
                </c:pt>
                <c:pt idx="93">
                  <c:v>0.86310905804762139</c:v>
                </c:pt>
                <c:pt idx="94">
                  <c:v>0.86474354791800123</c:v>
                </c:pt>
                <c:pt idx="95">
                  <c:v>0.86634450761913162</c:v>
                </c:pt>
                <c:pt idx="96">
                  <c:v>0.86791289845844777</c:v>
                </c:pt>
                <c:pt idx="97">
                  <c:v>0.86944964671598313</c:v>
                </c:pt>
                <c:pt idx="98">
                  <c:v>0.87095564517923507</c:v>
                </c:pt>
                <c:pt idx="99">
                  <c:v>0.87243175460006317</c:v>
                </c:pt>
                <c:pt idx="100">
                  <c:v>0.87387880507808968</c:v>
                </c:pt>
                <c:pt idx="101">
                  <c:v>0.87529759737478974</c:v>
                </c:pt>
                <c:pt idx="102">
                  <c:v>0.87668890416219447</c:v>
                </c:pt>
                <c:pt idx="103">
                  <c:v>0.87805347120988397</c:v>
                </c:pt>
                <c:pt idx="104">
                  <c:v>0.87939201851371929</c:v>
                </c:pt>
                <c:pt idx="105">
                  <c:v>0.88070524136954886</c:v>
                </c:pt>
                <c:pt idx="106">
                  <c:v>0.88199381139492294</c:v>
                </c:pt>
                <c:pt idx="107">
                  <c:v>0.88325837750166991</c:v>
                </c:pt>
                <c:pt idx="108">
                  <c:v>0.88449956682200892</c:v>
                </c:pt>
                <c:pt idx="109">
                  <c:v>0.8857179855907138</c:v>
                </c:pt>
                <c:pt idx="110">
                  <c:v>0.88691421998569364</c:v>
                </c:pt>
                <c:pt idx="111">
                  <c:v>0.88808883692921192</c:v>
                </c:pt>
                <c:pt idx="112">
                  <c:v>0.88924238485183316</c:v>
                </c:pt>
                <c:pt idx="113">
                  <c:v>0.89037539442106828</c:v>
                </c:pt>
                <c:pt idx="114">
                  <c:v>0.89148837923656532</c:v>
                </c:pt>
                <c:pt idx="115">
                  <c:v>0.89258183649359357</c:v>
                </c:pt>
                <c:pt idx="116">
                  <c:v>0.89365624761646001</c:v>
                </c:pt>
                <c:pt idx="117">
                  <c:v>0.89471207886340909</c:v>
                </c:pt>
                <c:pt idx="118">
                  <c:v>0.8957497819044612</c:v>
                </c:pt>
                <c:pt idx="119">
                  <c:v>0.89676979437356996</c:v>
                </c:pt>
                <c:pt idx="120">
                  <c:v>0.89777254039639132</c:v>
                </c:pt>
                <c:pt idx="121">
                  <c:v>0.89875843109489395</c:v>
                </c:pt>
                <c:pt idx="122">
                  <c:v>0.89972786506996305</c:v>
                </c:pt>
                <c:pt idx="123">
                  <c:v>0.90068122886309276</c:v>
                </c:pt>
                <c:pt idx="124">
                  <c:v>0.90161889739819545</c:v>
                </c:pt>
                <c:pt idx="125">
                  <c:v>0.90254123440450462</c:v>
                </c:pt>
                <c:pt idx="126">
                  <c:v>0.90344859282149237</c:v>
                </c:pt>
                <c:pt idx="127">
                  <c:v>0.90434131518666994</c:v>
                </c:pt>
                <c:pt idx="128">
                  <c:v>0.9052197340071011</c:v>
                </c:pt>
                <c:pt idx="129">
                  <c:v>0.90608417211540038</c:v>
                </c:pt>
                <c:pt idx="130">
                  <c:v>0.90693494301096067</c:v>
                </c:pt>
                <c:pt idx="131">
                  <c:v>0.90777235118710553</c:v>
                </c:pt>
                <c:pt idx="132">
                  <c:v>0.90859669244482899</c:v>
                </c:pt>
                <c:pt idx="133">
                  <c:v>0.90940825419374915</c:v>
                </c:pt>
                <c:pt idx="134">
                  <c:v>0.91020731574087055</c:v>
                </c:pt>
                <c:pt idx="135">
                  <c:v>0.91099414856771832</c:v>
                </c:pt>
                <c:pt idx="136">
                  <c:v>0.9117690165963781</c:v>
                </c:pt>
                <c:pt idx="137">
                  <c:v>0.91253217644494888</c:v>
                </c:pt>
                <c:pt idx="138">
                  <c:v>0.91328387767288899</c:v>
                </c:pt>
                <c:pt idx="139">
                  <c:v>0.91402436301671208</c:v>
                </c:pt>
                <c:pt idx="140">
                  <c:v>0.91475386861646613</c:v>
                </c:pt>
                <c:pt idx="141">
                  <c:v>0.91547262423340714</c:v>
                </c:pt>
                <c:pt idx="142">
                  <c:v>0.91618085345925859</c:v>
                </c:pt>
                <c:pt idx="143">
                  <c:v>0.91687877391742723</c:v>
                </c:pt>
                <c:pt idx="144">
                  <c:v>0.91756659745653002</c:v>
                </c:pt>
                <c:pt idx="145">
                  <c:v>0.91824453033656561</c:v>
                </c:pt>
                <c:pt idx="146">
                  <c:v>0.91891277340805255</c:v>
                </c:pt>
                <c:pt idx="147">
                  <c:v>0.91957152228443517</c:v>
                </c:pt>
                <c:pt idx="148">
                  <c:v>0.9202209675080476</c:v>
                </c:pt>
                <c:pt idx="149">
                  <c:v>0.92086129470991185</c:v>
                </c:pt>
                <c:pt idx="150">
                  <c:v>0.92149268476362933</c:v>
                </c:pt>
                <c:pt idx="151">
                  <c:v>0.92211531393361856</c:v>
                </c:pt>
                <c:pt idx="152">
                  <c:v>0.92272935401793388</c:v>
                </c:pt>
                <c:pt idx="153">
                  <c:v>0.92333497248589369</c:v>
                </c:pt>
                <c:pt idx="154">
                  <c:v>0.92393233261073204</c:v>
                </c:pt>
                <c:pt idx="155">
                  <c:v>0.92452159359748132</c:v>
                </c:pt>
                <c:pt idx="156">
                  <c:v>0.92510291070628148</c:v>
                </c:pt>
                <c:pt idx="157">
                  <c:v>0.92567643537130195</c:v>
                </c:pt>
                <c:pt idx="158">
                  <c:v>0.92624231531545642</c:v>
                </c:pt>
                <c:pt idx="159">
                  <c:v>0.92680069466107973</c:v>
                </c:pt>
                <c:pt idx="160">
                  <c:v>0.92735171403673</c:v>
                </c:pt>
                <c:pt idx="161">
                  <c:v>0.92789551068027154</c:v>
                </c:pt>
                <c:pt idx="162">
                  <c:v>0.92843221853838553</c:v>
                </c:pt>
                <c:pt idx="163">
                  <c:v>0.9289619683626521</c:v>
                </c:pt>
                <c:pt idx="164">
                  <c:v>0.92948488780233762</c:v>
                </c:pt>
                <c:pt idx="165">
                  <c:v>0.93000110149401705</c:v>
                </c:pt>
                <c:pt idx="166">
                  <c:v>0.93051073114815464</c:v>
                </c:pt>
                <c:pt idx="167">
                  <c:v>0.93101389563276249</c:v>
                </c:pt>
                <c:pt idx="168">
                  <c:v>0.93151071105424799</c:v>
                </c:pt>
                <c:pt idx="169">
                  <c:v>0.93200129083555949</c:v>
                </c:pt>
                <c:pt idx="170">
                  <c:v>0.93248574579173438</c:v>
                </c:pt>
                <c:pt idx="171">
                  <c:v>0.93296418420294636</c:v>
                </c:pt>
                <c:pt idx="172">
                  <c:v>0.93343671188514865</c:v>
                </c:pt>
                <c:pt idx="173">
                  <c:v>0.93390343225840333</c:v>
                </c:pt>
                <c:pt idx="174">
                  <c:v>0.93436444641298344</c:v>
                </c:pt>
                <c:pt idx="175">
                  <c:v>0.93481985317333016</c:v>
                </c:pt>
                <c:pt idx="176">
                  <c:v>0.93526974915994732</c:v>
                </c:pt>
                <c:pt idx="177">
                  <c:v>0.93571422884930711</c:v>
                </c:pt>
                <c:pt idx="178">
                  <c:v>0.93615338463184095</c:v>
                </c:pt>
                <c:pt idx="179">
                  <c:v>0.93658730686808633</c:v>
                </c:pt>
                <c:pt idx="180">
                  <c:v>0.93701608394305613</c:v>
                </c:pt>
                <c:pt idx="181">
                  <c:v>0.93743980231889545</c:v>
                </c:pt>
                <c:pt idx="182">
                  <c:v>0.9378585465858873</c:v>
                </c:pt>
                <c:pt idx="183">
                  <c:v>0.93827239951186625</c:v>
                </c:pt>
                <c:pt idx="184">
                  <c:v>0.93868144209009918</c:v>
                </c:pt>
                <c:pt idx="185">
                  <c:v>0.93908575358568447</c:v>
                </c:pt>
                <c:pt idx="186">
                  <c:v>0.93948541158052423</c:v>
                </c:pt>
                <c:pt idx="187">
                  <c:v>0.93988049201692014</c:v>
                </c:pt>
                <c:pt idx="188">
                  <c:v>0.94027106923983961</c:v>
                </c:pt>
                <c:pt idx="189">
                  <c:v>0.94065721603790065</c:v>
                </c:pt>
                <c:pt idx="190">
                  <c:v>0.94103900368311832</c:v>
                </c:pt>
                <c:pt idx="191">
                  <c:v>0.94141650196945725</c:v>
                </c:pt>
                <c:pt idx="192">
                  <c:v>0.94178977925023</c:v>
                </c:pt>
                <c:pt idx="193">
                  <c:v>0.94215890247438228</c:v>
                </c:pt>
                <c:pt idx="194">
                  <c:v>0.94252393722170158</c:v>
                </c:pt>
                <c:pt idx="195">
                  <c:v>0.94288494773698672</c:v>
                </c:pt>
                <c:pt idx="196">
                  <c:v>0.94324199696321465</c:v>
                </c:pt>
                <c:pt idx="197">
                  <c:v>0.94359514657373511</c:v>
                </c:pt>
                <c:pt idx="198">
                  <c:v>0.94394445700352914</c:v>
                </c:pt>
                <c:pt idx="199">
                  <c:v>0.94428998747956128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0-46E3-8569-CC934D15E9C8}"/>
            </c:ext>
          </c:extLst>
        </c:ser>
        <c:ser>
          <c:idx val="1"/>
          <c:order val="1"/>
          <c:tx>
            <c:strRef>
              <c:f>Hill_Saturation!$W$2</c:f>
              <c:strCache>
                <c:ptCount val="1"/>
                <c:pt idx="0">
                  <c:v>fb_ig_spend_lakhs_sat_60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Hill_Saturation!$F$3:$F$202</c:f>
              <c:numCache>
                <c:formatCode>General</c:formatCode>
                <c:ptCount val="200"/>
                <c:pt idx="0">
                  <c:v>0</c:v>
                </c:pt>
                <c:pt idx="1">
                  <c:v>0.18582540986402851</c:v>
                </c:pt>
                <c:pt idx="2">
                  <c:v>0.37165081972805702</c:v>
                </c:pt>
                <c:pt idx="3">
                  <c:v>0.55747622959208554</c:v>
                </c:pt>
                <c:pt idx="4">
                  <c:v>0.74330163945611405</c:v>
                </c:pt>
                <c:pt idx="5">
                  <c:v>0.92912704932014256</c:v>
                </c:pt>
                <c:pt idx="6">
                  <c:v>1.1149524591841711</c:v>
                </c:pt>
                <c:pt idx="7">
                  <c:v>1.3007778690481997</c:v>
                </c:pt>
                <c:pt idx="8">
                  <c:v>1.4866032789122281</c:v>
                </c:pt>
                <c:pt idx="9">
                  <c:v>1.6724286887762565</c:v>
                </c:pt>
                <c:pt idx="10">
                  <c:v>1.8582540986402849</c:v>
                </c:pt>
                <c:pt idx="11">
                  <c:v>2.0440795085043133</c:v>
                </c:pt>
                <c:pt idx="12">
                  <c:v>2.2299049183683417</c:v>
                </c:pt>
                <c:pt idx="13">
                  <c:v>2.4157303282323701</c:v>
                </c:pt>
                <c:pt idx="14">
                  <c:v>2.6015557380963985</c:v>
                </c:pt>
                <c:pt idx="15">
                  <c:v>2.7873811479604269</c:v>
                </c:pt>
                <c:pt idx="16">
                  <c:v>2.9732065578244553</c:v>
                </c:pt>
                <c:pt idx="17">
                  <c:v>3.1590319676884837</c:v>
                </c:pt>
                <c:pt idx="18">
                  <c:v>3.3448573775525121</c:v>
                </c:pt>
                <c:pt idx="19">
                  <c:v>3.5306827874165405</c:v>
                </c:pt>
                <c:pt idx="20">
                  <c:v>3.7165081972805689</c:v>
                </c:pt>
                <c:pt idx="21">
                  <c:v>3.9023336071445973</c:v>
                </c:pt>
                <c:pt idx="22">
                  <c:v>4.0881590170086257</c:v>
                </c:pt>
                <c:pt idx="23">
                  <c:v>4.2739844268726541</c:v>
                </c:pt>
                <c:pt idx="24">
                  <c:v>4.4598098367366825</c:v>
                </c:pt>
                <c:pt idx="25">
                  <c:v>4.6456352466007109</c:v>
                </c:pt>
                <c:pt idx="26">
                  <c:v>4.8314606564647393</c:v>
                </c:pt>
                <c:pt idx="27">
                  <c:v>5.0172860663287677</c:v>
                </c:pt>
                <c:pt idx="28">
                  <c:v>5.2031114761927961</c:v>
                </c:pt>
                <c:pt idx="29">
                  <c:v>5.3889368860568245</c:v>
                </c:pt>
                <c:pt idx="30">
                  <c:v>5.5747622959208529</c:v>
                </c:pt>
                <c:pt idx="31">
                  <c:v>5.7605877057848813</c:v>
                </c:pt>
                <c:pt idx="32">
                  <c:v>5.9464131156489097</c:v>
                </c:pt>
                <c:pt idx="33">
                  <c:v>6.1322385255129381</c:v>
                </c:pt>
                <c:pt idx="34">
                  <c:v>6.3180639353769665</c:v>
                </c:pt>
                <c:pt idx="35">
                  <c:v>6.5038893452409949</c:v>
                </c:pt>
                <c:pt idx="36">
                  <c:v>6.6897147551050233</c:v>
                </c:pt>
                <c:pt idx="37">
                  <c:v>6.8755401649690517</c:v>
                </c:pt>
                <c:pt idx="38">
                  <c:v>7.0613655748330801</c:v>
                </c:pt>
                <c:pt idx="39">
                  <c:v>7.2471909846971085</c:v>
                </c:pt>
                <c:pt idx="40">
                  <c:v>7.4330163945611369</c:v>
                </c:pt>
                <c:pt idx="41">
                  <c:v>7.6188418044251653</c:v>
                </c:pt>
                <c:pt idx="42">
                  <c:v>7.8046672142891937</c:v>
                </c:pt>
                <c:pt idx="43">
                  <c:v>7.9904926241532221</c:v>
                </c:pt>
                <c:pt idx="44">
                  <c:v>8.1763180340172514</c:v>
                </c:pt>
                <c:pt idx="45">
                  <c:v>8.3621434438812798</c:v>
                </c:pt>
                <c:pt idx="46">
                  <c:v>8.5479688537453082</c:v>
                </c:pt>
                <c:pt idx="47">
                  <c:v>8.7337942636093366</c:v>
                </c:pt>
                <c:pt idx="48">
                  <c:v>8.919619673473365</c:v>
                </c:pt>
                <c:pt idx="49">
                  <c:v>9.1054450833373934</c:v>
                </c:pt>
                <c:pt idx="50">
                  <c:v>9.2912704932014218</c:v>
                </c:pt>
                <c:pt idx="51">
                  <c:v>9.4770959030654502</c:v>
                </c:pt>
                <c:pt idx="52">
                  <c:v>9.6629213129294786</c:v>
                </c:pt>
                <c:pt idx="53">
                  <c:v>9.848746722793507</c:v>
                </c:pt>
                <c:pt idx="54">
                  <c:v>10.034572132657535</c:v>
                </c:pt>
                <c:pt idx="55">
                  <c:v>10.220397542521564</c:v>
                </c:pt>
                <c:pt idx="56">
                  <c:v>10.406222952385592</c:v>
                </c:pt>
                <c:pt idx="57">
                  <c:v>10.592048362249621</c:v>
                </c:pt>
                <c:pt idx="58">
                  <c:v>10.777873772113649</c:v>
                </c:pt>
                <c:pt idx="59">
                  <c:v>10.963699181977677</c:v>
                </c:pt>
                <c:pt idx="60">
                  <c:v>11.149524591841706</c:v>
                </c:pt>
                <c:pt idx="61">
                  <c:v>11.335350001705734</c:v>
                </c:pt>
                <c:pt idx="62">
                  <c:v>11.521175411569763</c:v>
                </c:pt>
                <c:pt idx="63">
                  <c:v>11.707000821433791</c:v>
                </c:pt>
                <c:pt idx="64">
                  <c:v>11.892826231297819</c:v>
                </c:pt>
                <c:pt idx="65">
                  <c:v>12.078651641161848</c:v>
                </c:pt>
                <c:pt idx="66">
                  <c:v>12.264477051025876</c:v>
                </c:pt>
                <c:pt idx="67">
                  <c:v>12.450302460889905</c:v>
                </c:pt>
                <c:pt idx="68">
                  <c:v>12.636127870753933</c:v>
                </c:pt>
                <c:pt idx="69">
                  <c:v>12.821953280617961</c:v>
                </c:pt>
                <c:pt idx="70">
                  <c:v>13.00777869048199</c:v>
                </c:pt>
                <c:pt idx="71">
                  <c:v>13.193604100346018</c:v>
                </c:pt>
                <c:pt idx="72">
                  <c:v>13.379429510210047</c:v>
                </c:pt>
                <c:pt idx="73">
                  <c:v>13.565254920074075</c:v>
                </c:pt>
                <c:pt idx="74">
                  <c:v>13.751080329938103</c:v>
                </c:pt>
                <c:pt idx="75">
                  <c:v>13.936905739802132</c:v>
                </c:pt>
                <c:pt idx="76">
                  <c:v>14.12273114966616</c:v>
                </c:pt>
                <c:pt idx="77">
                  <c:v>14.308556559530189</c:v>
                </c:pt>
                <c:pt idx="78">
                  <c:v>14.494381969394217</c:v>
                </c:pt>
                <c:pt idx="79">
                  <c:v>14.680207379258245</c:v>
                </c:pt>
                <c:pt idx="80">
                  <c:v>14.866032789122274</c:v>
                </c:pt>
                <c:pt idx="81">
                  <c:v>15.051858198986302</c:v>
                </c:pt>
                <c:pt idx="82">
                  <c:v>15.237683608850331</c:v>
                </c:pt>
                <c:pt idx="83">
                  <c:v>15.423509018714359</c:v>
                </c:pt>
                <c:pt idx="84">
                  <c:v>15.609334428578387</c:v>
                </c:pt>
                <c:pt idx="85">
                  <c:v>15.795159838442416</c:v>
                </c:pt>
                <c:pt idx="86">
                  <c:v>15.980985248306444</c:v>
                </c:pt>
                <c:pt idx="87">
                  <c:v>16.166810658170473</c:v>
                </c:pt>
                <c:pt idx="88">
                  <c:v>16.352636068034503</c:v>
                </c:pt>
                <c:pt idx="89">
                  <c:v>16.538461477898533</c:v>
                </c:pt>
                <c:pt idx="90">
                  <c:v>16.724286887762563</c:v>
                </c:pt>
                <c:pt idx="91">
                  <c:v>16.910112297626593</c:v>
                </c:pt>
                <c:pt idx="92">
                  <c:v>17.095937707490624</c:v>
                </c:pt>
                <c:pt idx="93">
                  <c:v>17.281763117354654</c:v>
                </c:pt>
                <c:pt idx="94">
                  <c:v>17.467588527218684</c:v>
                </c:pt>
                <c:pt idx="95">
                  <c:v>17.653413937082714</c:v>
                </c:pt>
                <c:pt idx="96">
                  <c:v>17.839239346946744</c:v>
                </c:pt>
                <c:pt idx="97">
                  <c:v>18.025064756810774</c:v>
                </c:pt>
                <c:pt idx="98">
                  <c:v>18.210890166674805</c:v>
                </c:pt>
                <c:pt idx="99">
                  <c:v>18.396715576538835</c:v>
                </c:pt>
                <c:pt idx="100">
                  <c:v>18.582540986402865</c:v>
                </c:pt>
                <c:pt idx="101">
                  <c:v>18.768366396266895</c:v>
                </c:pt>
                <c:pt idx="102">
                  <c:v>18.954191806130925</c:v>
                </c:pt>
                <c:pt idx="103">
                  <c:v>19.140017215994956</c:v>
                </c:pt>
                <c:pt idx="104">
                  <c:v>19.325842625858986</c:v>
                </c:pt>
                <c:pt idx="105">
                  <c:v>19.511668035723016</c:v>
                </c:pt>
                <c:pt idx="106">
                  <c:v>19.697493445587046</c:v>
                </c:pt>
                <c:pt idx="107">
                  <c:v>19.883318855451076</c:v>
                </c:pt>
                <c:pt idx="108">
                  <c:v>20.069144265315106</c:v>
                </c:pt>
                <c:pt idx="109">
                  <c:v>20.254969675179137</c:v>
                </c:pt>
                <c:pt idx="110">
                  <c:v>20.440795085043167</c:v>
                </c:pt>
                <c:pt idx="111">
                  <c:v>20.626620494907197</c:v>
                </c:pt>
                <c:pt idx="112">
                  <c:v>20.812445904771227</c:v>
                </c:pt>
                <c:pt idx="113">
                  <c:v>20.998271314635257</c:v>
                </c:pt>
                <c:pt idx="114">
                  <c:v>21.184096724499287</c:v>
                </c:pt>
                <c:pt idx="115">
                  <c:v>21.369922134363318</c:v>
                </c:pt>
                <c:pt idx="116">
                  <c:v>21.555747544227348</c:v>
                </c:pt>
                <c:pt idx="117">
                  <c:v>21.741572954091378</c:v>
                </c:pt>
                <c:pt idx="118">
                  <c:v>21.927398363955408</c:v>
                </c:pt>
                <c:pt idx="119">
                  <c:v>22.113223773819438</c:v>
                </c:pt>
                <c:pt idx="120">
                  <c:v>22.299049183683469</c:v>
                </c:pt>
                <c:pt idx="121">
                  <c:v>22.484874593547499</c:v>
                </c:pt>
                <c:pt idx="122">
                  <c:v>22.670700003411529</c:v>
                </c:pt>
                <c:pt idx="123">
                  <c:v>22.856525413275559</c:v>
                </c:pt>
                <c:pt idx="124">
                  <c:v>23.042350823139589</c:v>
                </c:pt>
                <c:pt idx="125">
                  <c:v>23.228176233003619</c:v>
                </c:pt>
                <c:pt idx="126">
                  <c:v>23.41400164286765</c:v>
                </c:pt>
                <c:pt idx="127">
                  <c:v>23.59982705273168</c:v>
                </c:pt>
                <c:pt idx="128">
                  <c:v>23.78565246259571</c:v>
                </c:pt>
                <c:pt idx="129">
                  <c:v>23.97147787245974</c:v>
                </c:pt>
                <c:pt idx="130">
                  <c:v>24.15730328232377</c:v>
                </c:pt>
                <c:pt idx="131">
                  <c:v>24.343128692187801</c:v>
                </c:pt>
                <c:pt idx="132">
                  <c:v>24.528954102051831</c:v>
                </c:pt>
                <c:pt idx="133">
                  <c:v>24.714779511915861</c:v>
                </c:pt>
                <c:pt idx="134">
                  <c:v>24.900604921779891</c:v>
                </c:pt>
                <c:pt idx="135">
                  <c:v>25.086430331643921</c:v>
                </c:pt>
                <c:pt idx="136">
                  <c:v>25.272255741507951</c:v>
                </c:pt>
                <c:pt idx="137">
                  <c:v>25.458081151371982</c:v>
                </c:pt>
                <c:pt idx="138">
                  <c:v>25.643906561236012</c:v>
                </c:pt>
                <c:pt idx="139">
                  <c:v>25.829731971100042</c:v>
                </c:pt>
                <c:pt idx="140">
                  <c:v>26.015557380964072</c:v>
                </c:pt>
                <c:pt idx="141">
                  <c:v>26.201382790828102</c:v>
                </c:pt>
                <c:pt idx="142">
                  <c:v>26.387208200692132</c:v>
                </c:pt>
                <c:pt idx="143">
                  <c:v>26.573033610556163</c:v>
                </c:pt>
                <c:pt idx="144">
                  <c:v>26.758859020420193</c:v>
                </c:pt>
                <c:pt idx="145">
                  <c:v>26.944684430284223</c:v>
                </c:pt>
                <c:pt idx="146">
                  <c:v>27.130509840148253</c:v>
                </c:pt>
                <c:pt idx="147">
                  <c:v>27.316335250012283</c:v>
                </c:pt>
                <c:pt idx="148">
                  <c:v>27.502160659876314</c:v>
                </c:pt>
                <c:pt idx="149">
                  <c:v>27.687986069740344</c:v>
                </c:pt>
                <c:pt idx="150">
                  <c:v>27.873811479604374</c:v>
                </c:pt>
                <c:pt idx="151">
                  <c:v>28.059636889468404</c:v>
                </c:pt>
                <c:pt idx="152">
                  <c:v>28.245462299332434</c:v>
                </c:pt>
                <c:pt idx="153">
                  <c:v>28.431287709196464</c:v>
                </c:pt>
                <c:pt idx="154">
                  <c:v>28.617113119060495</c:v>
                </c:pt>
                <c:pt idx="155">
                  <c:v>28.802938528924525</c:v>
                </c:pt>
                <c:pt idx="156">
                  <c:v>28.988763938788555</c:v>
                </c:pt>
                <c:pt idx="157">
                  <c:v>29.174589348652585</c:v>
                </c:pt>
                <c:pt idx="158">
                  <c:v>29.360414758516615</c:v>
                </c:pt>
                <c:pt idx="159">
                  <c:v>29.546240168380645</c:v>
                </c:pt>
                <c:pt idx="160">
                  <c:v>29.732065578244676</c:v>
                </c:pt>
                <c:pt idx="161">
                  <c:v>29.917890988108706</c:v>
                </c:pt>
                <c:pt idx="162">
                  <c:v>30.103716397972736</c:v>
                </c:pt>
                <c:pt idx="163">
                  <c:v>30.289541807836766</c:v>
                </c:pt>
                <c:pt idx="164">
                  <c:v>30.475367217700796</c:v>
                </c:pt>
                <c:pt idx="165">
                  <c:v>30.661192627564827</c:v>
                </c:pt>
                <c:pt idx="166">
                  <c:v>30.847018037428857</c:v>
                </c:pt>
                <c:pt idx="167">
                  <c:v>31.032843447292887</c:v>
                </c:pt>
                <c:pt idx="168">
                  <c:v>31.218668857156917</c:v>
                </c:pt>
                <c:pt idx="169">
                  <c:v>31.404494267020947</c:v>
                </c:pt>
                <c:pt idx="170">
                  <c:v>31.590319676884977</c:v>
                </c:pt>
                <c:pt idx="171">
                  <c:v>31.776145086749008</c:v>
                </c:pt>
                <c:pt idx="172">
                  <c:v>31.961970496613038</c:v>
                </c:pt>
                <c:pt idx="173">
                  <c:v>32.147795906477064</c:v>
                </c:pt>
                <c:pt idx="174">
                  <c:v>32.333621316341095</c:v>
                </c:pt>
                <c:pt idx="175">
                  <c:v>32.519446726205125</c:v>
                </c:pt>
                <c:pt idx="176">
                  <c:v>32.705272136069155</c:v>
                </c:pt>
                <c:pt idx="177">
                  <c:v>32.891097545933185</c:v>
                </c:pt>
                <c:pt idx="178">
                  <c:v>33.076922955797215</c:v>
                </c:pt>
                <c:pt idx="179">
                  <c:v>33.262748365661245</c:v>
                </c:pt>
                <c:pt idx="180">
                  <c:v>33.448573775525276</c:v>
                </c:pt>
                <c:pt idx="181">
                  <c:v>33.634399185389306</c:v>
                </c:pt>
                <c:pt idx="182">
                  <c:v>33.820224595253336</c:v>
                </c:pt>
                <c:pt idx="183">
                  <c:v>34.006050005117366</c:v>
                </c:pt>
                <c:pt idx="184">
                  <c:v>34.191875414981396</c:v>
                </c:pt>
                <c:pt idx="185">
                  <c:v>34.377700824845427</c:v>
                </c:pt>
                <c:pt idx="186">
                  <c:v>34.563526234709457</c:v>
                </c:pt>
                <c:pt idx="187">
                  <c:v>34.749351644573487</c:v>
                </c:pt>
                <c:pt idx="188">
                  <c:v>34.935177054437517</c:v>
                </c:pt>
                <c:pt idx="189">
                  <c:v>35.121002464301547</c:v>
                </c:pt>
                <c:pt idx="190">
                  <c:v>35.306827874165577</c:v>
                </c:pt>
                <c:pt idx="191">
                  <c:v>35.492653284029608</c:v>
                </c:pt>
                <c:pt idx="192">
                  <c:v>35.678478693893638</c:v>
                </c:pt>
                <c:pt idx="193">
                  <c:v>35.864304103757668</c:v>
                </c:pt>
                <c:pt idx="194">
                  <c:v>36.050129513621698</c:v>
                </c:pt>
                <c:pt idx="195">
                  <c:v>36.235954923485728</c:v>
                </c:pt>
                <c:pt idx="196">
                  <c:v>36.421780333349759</c:v>
                </c:pt>
                <c:pt idx="197">
                  <c:v>36.607605743213789</c:v>
                </c:pt>
                <c:pt idx="198">
                  <c:v>36.793431153077819</c:v>
                </c:pt>
                <c:pt idx="199">
                  <c:v>36.979256562941849</c:v>
                </c:pt>
              </c:numCache>
            </c:numRef>
          </c:cat>
          <c:val>
            <c:numRef>
              <c:f>Hill_Saturation!$W$3:$W$202</c:f>
              <c:numCache>
                <c:formatCode>General</c:formatCode>
                <c:ptCount val="200"/>
                <c:pt idx="0">
                  <c:v>0</c:v>
                </c:pt>
                <c:pt idx="1">
                  <c:v>1.5067321472450204E-2</c:v>
                </c:pt>
                <c:pt idx="2">
                  <c:v>3.6300300916830584E-2</c:v>
                </c:pt>
                <c:pt idx="3">
                  <c:v>5.998230716444454E-2</c:v>
                </c:pt>
                <c:pt idx="4">
                  <c:v>8.4876453796725163E-2</c:v>
                </c:pt>
                <c:pt idx="5">
                  <c:v>0.11029064355199297</c:v>
                </c:pt>
                <c:pt idx="6">
                  <c:v>0.13578395603245338</c:v>
                </c:pt>
                <c:pt idx="7">
                  <c:v>0.16106005178197852</c:v>
                </c:pt>
                <c:pt idx="8">
                  <c:v>0.18591563157896565</c:v>
                </c:pt>
                <c:pt idx="9">
                  <c:v>0.21021115758046321</c:v>
                </c:pt>
                <c:pt idx="10">
                  <c:v>0.23385245014484959</c:v>
                </c:pt>
                <c:pt idx="11">
                  <c:v>0.25677832647161536</c:v>
                </c:pt>
                <c:pt idx="12">
                  <c:v>0.2789519186617192</c:v>
                </c:pt>
                <c:pt idx="13">
                  <c:v>0.30035438753473565</c:v>
                </c:pt>
                <c:pt idx="14">
                  <c:v>0.32098027471429091</c:v>
                </c:pt>
                <c:pt idx="15">
                  <c:v>0.3408340160442303</c:v>
                </c:pt>
                <c:pt idx="16">
                  <c:v>0.35992730036277926</c:v>
                </c:pt>
                <c:pt idx="17">
                  <c:v>0.37827705581838533</c:v>
                </c:pt>
                <c:pt idx="18">
                  <c:v>0.39590390887078108</c:v>
                </c:pt>
                <c:pt idx="19">
                  <c:v>0.41283100321990279</c:v>
                </c:pt>
                <c:pt idx="20">
                  <c:v>0.42908309502565206</c:v>
                </c:pt>
                <c:pt idx="21">
                  <c:v>0.44468586148303096</c:v>
                </c:pt>
                <c:pt idx="22">
                  <c:v>0.45966537486065157</c:v>
                </c:pt>
                <c:pt idx="23">
                  <c:v>0.47404770523642881</c:v>
                </c:pt>
                <c:pt idx="24">
                  <c:v>0.48785862350942544</c:v>
                </c:pt>
                <c:pt idx="25">
                  <c:v>0.50112338259758238</c:v>
                </c:pt>
                <c:pt idx="26">
                  <c:v>0.51386655957783545</c:v>
                </c:pt>
                <c:pt idx="27">
                  <c:v>0.52611194526344118</c:v>
                </c:pt>
                <c:pt idx="28">
                  <c:v>0.53788247061433547</c:v>
                </c:pt>
                <c:pt idx="29">
                  <c:v>0.54920016163885421</c:v>
                </c:pt>
                <c:pt idx="30">
                  <c:v>0.56008611621702331</c:v>
                </c:pt>
                <c:pt idx="31">
                  <c:v>0.57056049766803263</c:v>
                </c:pt>
                <c:pt idx="32">
                  <c:v>0.58064254098179902</c:v>
                </c:pt>
                <c:pt idx="33">
                  <c:v>0.59035056850127221</c:v>
                </c:pt>
                <c:pt idx="34">
                  <c:v>0.59970201252804467</c:v>
                </c:pt>
                <c:pt idx="35">
                  <c:v>0.60871344286740792</c:v>
                </c:pt>
                <c:pt idx="36">
                  <c:v>0.61740059776025025</c:v>
                </c:pt>
                <c:pt idx="37">
                  <c:v>0.62577841699153736</c:v>
                </c:pt>
                <c:pt idx="38">
                  <c:v>0.63386107623698273</c:v>
                </c:pt>
                <c:pt idx="39">
                  <c:v>0.64166202192535771</c:v>
                </c:pt>
                <c:pt idx="40">
                  <c:v>0.64919400606517774</c:v>
                </c:pt>
                <c:pt idx="41">
                  <c:v>0.65646912062026708</c:v>
                </c:pt>
                <c:pt idx="42">
                  <c:v>0.66349883112615959</c:v>
                </c:pt>
                <c:pt idx="43">
                  <c:v>0.67029400932412853</c:v>
                </c:pt>
                <c:pt idx="44">
                  <c:v>0.67686496465643442</c:v>
                </c:pt>
                <c:pt idx="45">
                  <c:v>0.6832214745187476</c:v>
                </c:pt>
                <c:pt idx="46">
                  <c:v>0.6893728132065573</c:v>
                </c:pt>
                <c:pt idx="47">
                  <c:v>0.69532777952404634</c:v>
                </c:pt>
                <c:pt idx="48">
                  <c:v>0.70109472304823273</c:v>
                </c:pt>
                <c:pt idx="49">
                  <c:v>0.70668156905968149</c:v>
                </c:pt>
                <c:pt idx="50">
                  <c:v>0.71209584216492283</c:v>
                </c:pt>
                <c:pt idx="51">
                  <c:v>0.71734468864588263</c:v>
                </c:pt>
                <c:pt idx="52">
                  <c:v>0.72243489757886858</c:v>
                </c:pt>
                <c:pt idx="53">
                  <c:v>0.727372920770609</c:v>
                </c:pt>
                <c:pt idx="54">
                  <c:v>0.73216489156198195</c:v>
                </c:pt>
                <c:pt idx="55">
                  <c:v>0.73681664255181967</c:v>
                </c:pt>
                <c:pt idx="56">
                  <c:v>0.74133372229382877</c:v>
                </c:pt>
                <c:pt idx="57">
                  <c:v>0.74572141101949241</c:v>
                </c:pt>
                <c:pt idx="58">
                  <c:v>0.74998473543902122</c:v>
                </c:pt>
                <c:pt idx="59">
                  <c:v>0.75412848267115362</c:v>
                </c:pt>
                <c:pt idx="60">
                  <c:v>0.75815721335100472</c:v>
                </c:pt>
                <c:pt idx="61">
                  <c:v>0.7620752739633232</c:v>
                </c:pt>
                <c:pt idx="62">
                  <c:v>0.76588680844652657</c:v>
                </c:pt>
                <c:pt idx="63">
                  <c:v>0.76959576911080085</c:v>
                </c:pt>
                <c:pt idx="64">
                  <c:v>0.77320592691142365</c:v>
                </c:pt>
                <c:pt idx="65">
                  <c:v>0.77672088111634163</c:v>
                </c:pt>
                <c:pt idx="66">
                  <c:v>0.78014406840491979</c:v>
                </c:pt>
                <c:pt idx="67">
                  <c:v>0.78347877143272127</c:v>
                </c:pt>
                <c:pt idx="68">
                  <c:v>0.78672812689517257</c:v>
                </c:pt>
                <c:pt idx="69">
                  <c:v>0.78989513312103732</c:v>
                </c:pt>
                <c:pt idx="70">
                  <c:v>0.79298265722476957</c:v>
                </c:pt>
                <c:pt idx="71">
                  <c:v>0.79599344184504994</c:v>
                </c:pt>
                <c:pt idx="72">
                  <c:v>0.79893011149512638</c:v>
                </c:pt>
                <c:pt idx="73">
                  <c:v>0.80179517854898519</c:v>
                </c:pt>
                <c:pt idx="74">
                  <c:v>0.80459104888587074</c:v>
                </c:pt>
                <c:pt idx="75">
                  <c:v>0.80732002721425045</c:v>
                </c:pt>
                <c:pt idx="76">
                  <c:v>0.80998432209497451</c:v>
                </c:pt>
                <c:pt idx="77">
                  <c:v>0.81258605068212919</c:v>
                </c:pt>
                <c:pt idx="78">
                  <c:v>0.81512724319889007</c:v>
                </c:pt>
                <c:pt idx="79">
                  <c:v>0.81760984716457197</c:v>
                </c:pt>
                <c:pt idx="80">
                  <c:v>0.82003573138803865</c:v>
                </c:pt>
                <c:pt idx="81">
                  <c:v>0.82240668974164899</c:v>
                </c:pt>
                <c:pt idx="82">
                  <c:v>0.82472444472901529</c:v>
                </c:pt>
                <c:pt idx="83">
                  <c:v>0.82699065085898826</c:v>
                </c:pt>
                <c:pt idx="84">
                  <c:v>0.82920689783749102</c:v>
                </c:pt>
                <c:pt idx="85">
                  <c:v>0.83137471358807558</c:v>
                </c:pt>
                <c:pt idx="86">
                  <c:v>0.8334955671113824</c:v>
                </c:pt>
                <c:pt idx="87">
                  <c:v>0.83557087119303031</c:v>
                </c:pt>
                <c:pt idx="88">
                  <c:v>0.83760198496886051</c:v>
                </c:pt>
                <c:pt idx="89">
                  <c:v>0.8395902163558866</c:v>
                </c:pt>
                <c:pt idx="90">
                  <c:v>0.84153682435678101</c:v>
                </c:pt>
                <c:pt idx="91">
                  <c:v>0.84344302124522375</c:v>
                </c:pt>
                <c:pt idx="92">
                  <c:v>0.84530997463898949</c:v>
                </c:pt>
                <c:pt idx="93">
                  <c:v>0.84713880946720876</c:v>
                </c:pt>
                <c:pt idx="94">
                  <c:v>0.8489306098378433</c:v>
                </c:pt>
                <c:pt idx="95">
                  <c:v>0.85068642081103607</c:v>
                </c:pt>
                <c:pt idx="96">
                  <c:v>0.85240725008365004</c:v>
                </c:pt>
                <c:pt idx="97">
                  <c:v>0.85409406958997613</c:v>
                </c:pt>
                <c:pt idx="98">
                  <c:v>0.85574781702329217</c:v>
                </c:pt>
                <c:pt idx="99">
                  <c:v>0.85736939728266248</c:v>
                </c:pt>
                <c:pt idx="100">
                  <c:v>0.85895968384910359</c:v>
                </c:pt>
                <c:pt idx="101">
                  <c:v>0.86051952009499244</c:v>
                </c:pt>
                <c:pt idx="102">
                  <c:v>0.86204972053035678</c:v>
                </c:pt>
                <c:pt idx="103">
                  <c:v>0.86355107198947267</c:v>
                </c:pt>
                <c:pt idx="104">
                  <c:v>0.86502433476098717</c:v>
                </c:pt>
                <c:pt idx="105">
                  <c:v>0.86647024366459502</c:v>
                </c:pt>
                <c:pt idx="106">
                  <c:v>0.86788950907711604</c:v>
                </c:pt>
                <c:pt idx="107">
                  <c:v>0.86928281791065787</c:v>
                </c:pt>
                <c:pt idx="108">
                  <c:v>0.87065083454538639</c:v>
                </c:pt>
                <c:pt idx="109">
                  <c:v>0.87199420171928221</c:v>
                </c:pt>
                <c:pt idx="110">
                  <c:v>0.87331354137712314</c:v>
                </c:pt>
                <c:pt idx="111">
                  <c:v>0.87460945548080526</c:v>
                </c:pt>
                <c:pt idx="112">
                  <c:v>0.87588252678298983</c:v>
                </c:pt>
                <c:pt idx="113">
                  <c:v>0.87713331956595608</c:v>
                </c:pt>
                <c:pt idx="114">
                  <c:v>0.87836238034742842</c:v>
                </c:pt>
                <c:pt idx="115">
                  <c:v>0.87957023855504868</c:v>
                </c:pt>
                <c:pt idx="116">
                  <c:v>0.88075740717107143</c:v>
                </c:pt>
                <c:pt idx="117">
                  <c:v>0.88192438334877044</c:v>
                </c:pt>
                <c:pt idx="118">
                  <c:v>0.88307164900196233</c:v>
                </c:pt>
                <c:pt idx="119">
                  <c:v>0.88419967136897804</c:v>
                </c:pt>
                <c:pt idx="120">
                  <c:v>0.88530890355233482</c:v>
                </c:pt>
                <c:pt idx="121">
                  <c:v>0.88639978503529959</c:v>
                </c:pt>
                <c:pt idx="122">
                  <c:v>0.8874727421764631</c:v>
                </c:pt>
                <c:pt idx="123">
                  <c:v>0.88852818868338934</c:v>
                </c:pt>
                <c:pt idx="124">
                  <c:v>0.88956652606634334</c:v>
                </c:pt>
                <c:pt idx="125">
                  <c:v>0.89058814407305198</c:v>
                </c:pt>
                <c:pt idx="126">
                  <c:v>0.89159342110539275</c:v>
                </c:pt>
                <c:pt idx="127">
                  <c:v>0.89258272461887123</c:v>
                </c:pt>
                <c:pt idx="128">
                  <c:v>0.89355641150568754</c:v>
                </c:pt>
                <c:pt idx="129">
                  <c:v>0.89451482846216557</c:v>
                </c:pt>
                <c:pt idx="130">
                  <c:v>0.89545831234126372</c:v>
                </c:pt>
                <c:pt idx="131">
                  <c:v>0.89638719049086124</c:v>
                </c:pt>
                <c:pt idx="132">
                  <c:v>0.89730178107847158</c:v>
                </c:pt>
                <c:pt idx="133">
                  <c:v>0.89820239340300023</c:v>
                </c:pt>
                <c:pt idx="134">
                  <c:v>0.89908932819413889</c:v>
                </c:pt>
                <c:pt idx="135">
                  <c:v>0.89996287789995155</c:v>
                </c:pt>
                <c:pt idx="136">
                  <c:v>0.90082332696318324</c:v>
                </c:pt>
                <c:pt idx="137">
                  <c:v>0.90167095208679648</c:v>
                </c:pt>
                <c:pt idx="138">
                  <c:v>0.90250602248921052</c:v>
                </c:pt>
                <c:pt idx="139">
                  <c:v>0.90332880014970329</c:v>
                </c:pt>
                <c:pt idx="140">
                  <c:v>0.90413954004440211</c:v>
                </c:pt>
                <c:pt idx="141">
                  <c:v>0.90493849037328011</c:v>
                </c:pt>
                <c:pt idx="142">
                  <c:v>0.90572589277854498</c:v>
                </c:pt>
                <c:pt idx="143">
                  <c:v>0.90650198255479475</c:v>
                </c:pt>
                <c:pt idx="144">
                  <c:v>0.90726698885129287</c:v>
                </c:pt>
                <c:pt idx="145">
                  <c:v>0.90802113486670077</c:v>
                </c:pt>
                <c:pt idx="146">
                  <c:v>0.90876463803658802</c:v>
                </c:pt>
                <c:pt idx="147">
                  <c:v>0.90949771021402648</c:v>
                </c:pt>
                <c:pt idx="148">
                  <c:v>0.91022055784355793</c:v>
                </c:pt>
                <c:pt idx="149">
                  <c:v>0.91093338212881492</c:v>
                </c:pt>
                <c:pt idx="150">
                  <c:v>0.91163637919405727</c:v>
                </c:pt>
                <c:pt idx="151">
                  <c:v>0.91232974023987723</c:v>
                </c:pt>
                <c:pt idx="152">
                  <c:v>0.91301365169331294</c:v>
                </c:pt>
                <c:pt idx="153">
                  <c:v>0.91368829535260132</c:v>
                </c:pt>
                <c:pt idx="154">
                  <c:v>0.91435384852678603</c:v>
                </c:pt>
                <c:pt idx="155">
                  <c:v>0.91501048417039232</c:v>
                </c:pt>
                <c:pt idx="156">
                  <c:v>0.91565837101336645</c:v>
                </c:pt>
                <c:pt idx="157">
                  <c:v>0.91629767368646897</c:v>
                </c:pt>
                <c:pt idx="158">
                  <c:v>0.91692855284230679</c:v>
                </c:pt>
                <c:pt idx="159">
                  <c:v>0.91755116527217351</c:v>
                </c:pt>
                <c:pt idx="160">
                  <c:v>0.91816566401886723</c:v>
                </c:pt>
                <c:pt idx="161">
                  <c:v>0.91877219848564162</c:v>
                </c:pt>
                <c:pt idx="162">
                  <c:v>0.91937091454144371</c:v>
                </c:pt>
                <c:pt idx="163">
                  <c:v>0.91996195462258179</c:v>
                </c:pt>
                <c:pt idx="164">
                  <c:v>0.92054545783096287</c:v>
                </c:pt>
                <c:pt idx="165">
                  <c:v>0.92112156002903123</c:v>
                </c:pt>
                <c:pt idx="166">
                  <c:v>0.92169039393153507</c:v>
                </c:pt>
                <c:pt idx="167">
                  <c:v>0.9222520891942434</c:v>
                </c:pt>
                <c:pt idx="168">
                  <c:v>0.9228067724997272</c:v>
                </c:pt>
                <c:pt idx="169">
                  <c:v>0.92335456764031809</c:v>
                </c:pt>
                <c:pt idx="170">
                  <c:v>0.92389559559834911</c:v>
                </c:pt>
                <c:pt idx="171">
                  <c:v>0.92442997462378107</c:v>
                </c:pt>
                <c:pt idx="172">
                  <c:v>0.92495782030930995</c:v>
                </c:pt>
                <c:pt idx="173">
                  <c:v>0.92547924566305106</c:v>
                </c:pt>
                <c:pt idx="174">
                  <c:v>0.92599436117888878</c:v>
                </c:pt>
                <c:pt idx="175">
                  <c:v>0.92650327490457562</c:v>
                </c:pt>
                <c:pt idx="176">
                  <c:v>0.92700609250766763</c:v>
                </c:pt>
                <c:pt idx="177">
                  <c:v>0.9275029173393694</c:v>
                </c:pt>
                <c:pt idx="178">
                  <c:v>0.92799385049636918</c:v>
                </c:pt>
                <c:pt idx="179">
                  <c:v>0.92847899088073382</c:v>
                </c:pt>
                <c:pt idx="180">
                  <c:v>0.92895843525793453</c:v>
                </c:pt>
                <c:pt idx="181">
                  <c:v>0.9294322783130694</c:v>
                </c:pt>
                <c:pt idx="182">
                  <c:v>0.92990061270534774</c:v>
                </c:pt>
                <c:pt idx="183">
                  <c:v>0.93036352912089737</c:v>
                </c:pt>
                <c:pt idx="184">
                  <c:v>0.93082111632395415</c:v>
                </c:pt>
                <c:pt idx="185">
                  <c:v>0.93127346120649024</c:v>
                </c:pt>
                <c:pt idx="186">
                  <c:v>0.9317206488363361</c:v>
                </c:pt>
                <c:pt idx="187">
                  <c:v>0.93216276250384789</c:v>
                </c:pt>
                <c:pt idx="188">
                  <c:v>0.93259988376717251</c:v>
                </c:pt>
                <c:pt idx="189">
                  <c:v>0.9330320924961556</c:v>
                </c:pt>
                <c:pt idx="190">
                  <c:v>0.93345946691494208</c:v>
                </c:pt>
                <c:pt idx="191">
                  <c:v>0.93388208364331171</c:v>
                </c:pt>
                <c:pt idx="192">
                  <c:v>0.9343000177367945</c:v>
                </c:pt>
                <c:pt idx="193">
                  <c:v>0.9347133427256058</c:v>
                </c:pt>
                <c:pt idx="194">
                  <c:v>0.93512213065244132</c:v>
                </c:pt>
                <c:pt idx="195">
                  <c:v>0.93552645210917129</c:v>
                </c:pt>
                <c:pt idx="196">
                  <c:v>0.93592637627246922</c:v>
                </c:pt>
                <c:pt idx="197">
                  <c:v>0.9363219709384113</c:v>
                </c:pt>
                <c:pt idx="198">
                  <c:v>0.93671330255608076</c:v>
                </c:pt>
                <c:pt idx="199">
                  <c:v>0.93710043626020978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0-46E3-8569-CC934D15E9C8}"/>
            </c:ext>
          </c:extLst>
        </c:ser>
        <c:ser>
          <c:idx val="2"/>
          <c:order val="2"/>
          <c:tx>
            <c:strRef>
              <c:f>Hill_Saturation!$X$2</c:f>
              <c:strCache>
                <c:ptCount val="1"/>
                <c:pt idx="0">
                  <c:v>fb_ig_spend_lakhs_sat_70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Hill_Saturation!$F$3:$F$202</c:f>
              <c:numCache>
                <c:formatCode>General</c:formatCode>
                <c:ptCount val="200"/>
                <c:pt idx="0">
                  <c:v>0</c:v>
                </c:pt>
                <c:pt idx="1">
                  <c:v>0.18582540986402851</c:v>
                </c:pt>
                <c:pt idx="2">
                  <c:v>0.37165081972805702</c:v>
                </c:pt>
                <c:pt idx="3">
                  <c:v>0.55747622959208554</c:v>
                </c:pt>
                <c:pt idx="4">
                  <c:v>0.74330163945611405</c:v>
                </c:pt>
                <c:pt idx="5">
                  <c:v>0.92912704932014256</c:v>
                </c:pt>
                <c:pt idx="6">
                  <c:v>1.1149524591841711</c:v>
                </c:pt>
                <c:pt idx="7">
                  <c:v>1.3007778690481997</c:v>
                </c:pt>
                <c:pt idx="8">
                  <c:v>1.4866032789122281</c:v>
                </c:pt>
                <c:pt idx="9">
                  <c:v>1.6724286887762565</c:v>
                </c:pt>
                <c:pt idx="10">
                  <c:v>1.8582540986402849</c:v>
                </c:pt>
                <c:pt idx="11">
                  <c:v>2.0440795085043133</c:v>
                </c:pt>
                <c:pt idx="12">
                  <c:v>2.2299049183683417</c:v>
                </c:pt>
                <c:pt idx="13">
                  <c:v>2.4157303282323701</c:v>
                </c:pt>
                <c:pt idx="14">
                  <c:v>2.6015557380963985</c:v>
                </c:pt>
                <c:pt idx="15">
                  <c:v>2.7873811479604269</c:v>
                </c:pt>
                <c:pt idx="16">
                  <c:v>2.9732065578244553</c:v>
                </c:pt>
                <c:pt idx="17">
                  <c:v>3.1590319676884837</c:v>
                </c:pt>
                <c:pt idx="18">
                  <c:v>3.3448573775525121</c:v>
                </c:pt>
                <c:pt idx="19">
                  <c:v>3.5306827874165405</c:v>
                </c:pt>
                <c:pt idx="20">
                  <c:v>3.7165081972805689</c:v>
                </c:pt>
                <c:pt idx="21">
                  <c:v>3.9023336071445973</c:v>
                </c:pt>
                <c:pt idx="22">
                  <c:v>4.0881590170086257</c:v>
                </c:pt>
                <c:pt idx="23">
                  <c:v>4.2739844268726541</c:v>
                </c:pt>
                <c:pt idx="24">
                  <c:v>4.4598098367366825</c:v>
                </c:pt>
                <c:pt idx="25">
                  <c:v>4.6456352466007109</c:v>
                </c:pt>
                <c:pt idx="26">
                  <c:v>4.8314606564647393</c:v>
                </c:pt>
                <c:pt idx="27">
                  <c:v>5.0172860663287677</c:v>
                </c:pt>
                <c:pt idx="28">
                  <c:v>5.2031114761927961</c:v>
                </c:pt>
                <c:pt idx="29">
                  <c:v>5.3889368860568245</c:v>
                </c:pt>
                <c:pt idx="30">
                  <c:v>5.5747622959208529</c:v>
                </c:pt>
                <c:pt idx="31">
                  <c:v>5.7605877057848813</c:v>
                </c:pt>
                <c:pt idx="32">
                  <c:v>5.9464131156489097</c:v>
                </c:pt>
                <c:pt idx="33">
                  <c:v>6.1322385255129381</c:v>
                </c:pt>
                <c:pt idx="34">
                  <c:v>6.3180639353769665</c:v>
                </c:pt>
                <c:pt idx="35">
                  <c:v>6.5038893452409949</c:v>
                </c:pt>
                <c:pt idx="36">
                  <c:v>6.6897147551050233</c:v>
                </c:pt>
                <c:pt idx="37">
                  <c:v>6.8755401649690517</c:v>
                </c:pt>
                <c:pt idx="38">
                  <c:v>7.0613655748330801</c:v>
                </c:pt>
                <c:pt idx="39">
                  <c:v>7.2471909846971085</c:v>
                </c:pt>
                <c:pt idx="40">
                  <c:v>7.4330163945611369</c:v>
                </c:pt>
                <c:pt idx="41">
                  <c:v>7.6188418044251653</c:v>
                </c:pt>
                <c:pt idx="42">
                  <c:v>7.8046672142891937</c:v>
                </c:pt>
                <c:pt idx="43">
                  <c:v>7.9904926241532221</c:v>
                </c:pt>
                <c:pt idx="44">
                  <c:v>8.1763180340172514</c:v>
                </c:pt>
                <c:pt idx="45">
                  <c:v>8.3621434438812798</c:v>
                </c:pt>
                <c:pt idx="46">
                  <c:v>8.5479688537453082</c:v>
                </c:pt>
                <c:pt idx="47">
                  <c:v>8.7337942636093366</c:v>
                </c:pt>
                <c:pt idx="48">
                  <c:v>8.919619673473365</c:v>
                </c:pt>
                <c:pt idx="49">
                  <c:v>9.1054450833373934</c:v>
                </c:pt>
                <c:pt idx="50">
                  <c:v>9.2912704932014218</c:v>
                </c:pt>
                <c:pt idx="51">
                  <c:v>9.4770959030654502</c:v>
                </c:pt>
                <c:pt idx="52">
                  <c:v>9.6629213129294786</c:v>
                </c:pt>
                <c:pt idx="53">
                  <c:v>9.848746722793507</c:v>
                </c:pt>
                <c:pt idx="54">
                  <c:v>10.034572132657535</c:v>
                </c:pt>
                <c:pt idx="55">
                  <c:v>10.220397542521564</c:v>
                </c:pt>
                <c:pt idx="56">
                  <c:v>10.406222952385592</c:v>
                </c:pt>
                <c:pt idx="57">
                  <c:v>10.592048362249621</c:v>
                </c:pt>
                <c:pt idx="58">
                  <c:v>10.777873772113649</c:v>
                </c:pt>
                <c:pt idx="59">
                  <c:v>10.963699181977677</c:v>
                </c:pt>
                <c:pt idx="60">
                  <c:v>11.149524591841706</c:v>
                </c:pt>
                <c:pt idx="61">
                  <c:v>11.335350001705734</c:v>
                </c:pt>
                <c:pt idx="62">
                  <c:v>11.521175411569763</c:v>
                </c:pt>
                <c:pt idx="63">
                  <c:v>11.707000821433791</c:v>
                </c:pt>
                <c:pt idx="64">
                  <c:v>11.892826231297819</c:v>
                </c:pt>
                <c:pt idx="65">
                  <c:v>12.078651641161848</c:v>
                </c:pt>
                <c:pt idx="66">
                  <c:v>12.264477051025876</c:v>
                </c:pt>
                <c:pt idx="67">
                  <c:v>12.450302460889905</c:v>
                </c:pt>
                <c:pt idx="68">
                  <c:v>12.636127870753933</c:v>
                </c:pt>
                <c:pt idx="69">
                  <c:v>12.821953280617961</c:v>
                </c:pt>
                <c:pt idx="70">
                  <c:v>13.00777869048199</c:v>
                </c:pt>
                <c:pt idx="71">
                  <c:v>13.193604100346018</c:v>
                </c:pt>
                <c:pt idx="72">
                  <c:v>13.379429510210047</c:v>
                </c:pt>
                <c:pt idx="73">
                  <c:v>13.565254920074075</c:v>
                </c:pt>
                <c:pt idx="74">
                  <c:v>13.751080329938103</c:v>
                </c:pt>
                <c:pt idx="75">
                  <c:v>13.936905739802132</c:v>
                </c:pt>
                <c:pt idx="76">
                  <c:v>14.12273114966616</c:v>
                </c:pt>
                <c:pt idx="77">
                  <c:v>14.308556559530189</c:v>
                </c:pt>
                <c:pt idx="78">
                  <c:v>14.494381969394217</c:v>
                </c:pt>
                <c:pt idx="79">
                  <c:v>14.680207379258245</c:v>
                </c:pt>
                <c:pt idx="80">
                  <c:v>14.866032789122274</c:v>
                </c:pt>
                <c:pt idx="81">
                  <c:v>15.051858198986302</c:v>
                </c:pt>
                <c:pt idx="82">
                  <c:v>15.237683608850331</c:v>
                </c:pt>
                <c:pt idx="83">
                  <c:v>15.423509018714359</c:v>
                </c:pt>
                <c:pt idx="84">
                  <c:v>15.609334428578387</c:v>
                </c:pt>
                <c:pt idx="85">
                  <c:v>15.795159838442416</c:v>
                </c:pt>
                <c:pt idx="86">
                  <c:v>15.980985248306444</c:v>
                </c:pt>
                <c:pt idx="87">
                  <c:v>16.166810658170473</c:v>
                </c:pt>
                <c:pt idx="88">
                  <c:v>16.352636068034503</c:v>
                </c:pt>
                <c:pt idx="89">
                  <c:v>16.538461477898533</c:v>
                </c:pt>
                <c:pt idx="90">
                  <c:v>16.724286887762563</c:v>
                </c:pt>
                <c:pt idx="91">
                  <c:v>16.910112297626593</c:v>
                </c:pt>
                <c:pt idx="92">
                  <c:v>17.095937707490624</c:v>
                </c:pt>
                <c:pt idx="93">
                  <c:v>17.281763117354654</c:v>
                </c:pt>
                <c:pt idx="94">
                  <c:v>17.467588527218684</c:v>
                </c:pt>
                <c:pt idx="95">
                  <c:v>17.653413937082714</c:v>
                </c:pt>
                <c:pt idx="96">
                  <c:v>17.839239346946744</c:v>
                </c:pt>
                <c:pt idx="97">
                  <c:v>18.025064756810774</c:v>
                </c:pt>
                <c:pt idx="98">
                  <c:v>18.210890166674805</c:v>
                </c:pt>
                <c:pt idx="99">
                  <c:v>18.396715576538835</c:v>
                </c:pt>
                <c:pt idx="100">
                  <c:v>18.582540986402865</c:v>
                </c:pt>
                <c:pt idx="101">
                  <c:v>18.768366396266895</c:v>
                </c:pt>
                <c:pt idx="102">
                  <c:v>18.954191806130925</c:v>
                </c:pt>
                <c:pt idx="103">
                  <c:v>19.140017215994956</c:v>
                </c:pt>
                <c:pt idx="104">
                  <c:v>19.325842625858986</c:v>
                </c:pt>
                <c:pt idx="105">
                  <c:v>19.511668035723016</c:v>
                </c:pt>
                <c:pt idx="106">
                  <c:v>19.697493445587046</c:v>
                </c:pt>
                <c:pt idx="107">
                  <c:v>19.883318855451076</c:v>
                </c:pt>
                <c:pt idx="108">
                  <c:v>20.069144265315106</c:v>
                </c:pt>
                <c:pt idx="109">
                  <c:v>20.254969675179137</c:v>
                </c:pt>
                <c:pt idx="110">
                  <c:v>20.440795085043167</c:v>
                </c:pt>
                <c:pt idx="111">
                  <c:v>20.626620494907197</c:v>
                </c:pt>
                <c:pt idx="112">
                  <c:v>20.812445904771227</c:v>
                </c:pt>
                <c:pt idx="113">
                  <c:v>20.998271314635257</c:v>
                </c:pt>
                <c:pt idx="114">
                  <c:v>21.184096724499287</c:v>
                </c:pt>
                <c:pt idx="115">
                  <c:v>21.369922134363318</c:v>
                </c:pt>
                <c:pt idx="116">
                  <c:v>21.555747544227348</c:v>
                </c:pt>
                <c:pt idx="117">
                  <c:v>21.741572954091378</c:v>
                </c:pt>
                <c:pt idx="118">
                  <c:v>21.927398363955408</c:v>
                </c:pt>
                <c:pt idx="119">
                  <c:v>22.113223773819438</c:v>
                </c:pt>
                <c:pt idx="120">
                  <c:v>22.299049183683469</c:v>
                </c:pt>
                <c:pt idx="121">
                  <c:v>22.484874593547499</c:v>
                </c:pt>
                <c:pt idx="122">
                  <c:v>22.670700003411529</c:v>
                </c:pt>
                <c:pt idx="123">
                  <c:v>22.856525413275559</c:v>
                </c:pt>
                <c:pt idx="124">
                  <c:v>23.042350823139589</c:v>
                </c:pt>
                <c:pt idx="125">
                  <c:v>23.228176233003619</c:v>
                </c:pt>
                <c:pt idx="126">
                  <c:v>23.41400164286765</c:v>
                </c:pt>
                <c:pt idx="127">
                  <c:v>23.59982705273168</c:v>
                </c:pt>
                <c:pt idx="128">
                  <c:v>23.78565246259571</c:v>
                </c:pt>
                <c:pt idx="129">
                  <c:v>23.97147787245974</c:v>
                </c:pt>
                <c:pt idx="130">
                  <c:v>24.15730328232377</c:v>
                </c:pt>
                <c:pt idx="131">
                  <c:v>24.343128692187801</c:v>
                </c:pt>
                <c:pt idx="132">
                  <c:v>24.528954102051831</c:v>
                </c:pt>
                <c:pt idx="133">
                  <c:v>24.714779511915861</c:v>
                </c:pt>
                <c:pt idx="134">
                  <c:v>24.900604921779891</c:v>
                </c:pt>
                <c:pt idx="135">
                  <c:v>25.086430331643921</c:v>
                </c:pt>
                <c:pt idx="136">
                  <c:v>25.272255741507951</c:v>
                </c:pt>
                <c:pt idx="137">
                  <c:v>25.458081151371982</c:v>
                </c:pt>
                <c:pt idx="138">
                  <c:v>25.643906561236012</c:v>
                </c:pt>
                <c:pt idx="139">
                  <c:v>25.829731971100042</c:v>
                </c:pt>
                <c:pt idx="140">
                  <c:v>26.015557380964072</c:v>
                </c:pt>
                <c:pt idx="141">
                  <c:v>26.201382790828102</c:v>
                </c:pt>
                <c:pt idx="142">
                  <c:v>26.387208200692132</c:v>
                </c:pt>
                <c:pt idx="143">
                  <c:v>26.573033610556163</c:v>
                </c:pt>
                <c:pt idx="144">
                  <c:v>26.758859020420193</c:v>
                </c:pt>
                <c:pt idx="145">
                  <c:v>26.944684430284223</c:v>
                </c:pt>
                <c:pt idx="146">
                  <c:v>27.130509840148253</c:v>
                </c:pt>
                <c:pt idx="147">
                  <c:v>27.316335250012283</c:v>
                </c:pt>
                <c:pt idx="148">
                  <c:v>27.502160659876314</c:v>
                </c:pt>
                <c:pt idx="149">
                  <c:v>27.687986069740344</c:v>
                </c:pt>
                <c:pt idx="150">
                  <c:v>27.873811479604374</c:v>
                </c:pt>
                <c:pt idx="151">
                  <c:v>28.059636889468404</c:v>
                </c:pt>
                <c:pt idx="152">
                  <c:v>28.245462299332434</c:v>
                </c:pt>
                <c:pt idx="153">
                  <c:v>28.431287709196464</c:v>
                </c:pt>
                <c:pt idx="154">
                  <c:v>28.617113119060495</c:v>
                </c:pt>
                <c:pt idx="155">
                  <c:v>28.802938528924525</c:v>
                </c:pt>
                <c:pt idx="156">
                  <c:v>28.988763938788555</c:v>
                </c:pt>
                <c:pt idx="157">
                  <c:v>29.174589348652585</c:v>
                </c:pt>
                <c:pt idx="158">
                  <c:v>29.360414758516615</c:v>
                </c:pt>
                <c:pt idx="159">
                  <c:v>29.546240168380645</c:v>
                </c:pt>
                <c:pt idx="160">
                  <c:v>29.732065578244676</c:v>
                </c:pt>
                <c:pt idx="161">
                  <c:v>29.917890988108706</c:v>
                </c:pt>
                <c:pt idx="162">
                  <c:v>30.103716397972736</c:v>
                </c:pt>
                <c:pt idx="163">
                  <c:v>30.289541807836766</c:v>
                </c:pt>
                <c:pt idx="164">
                  <c:v>30.475367217700796</c:v>
                </c:pt>
                <c:pt idx="165">
                  <c:v>30.661192627564827</c:v>
                </c:pt>
                <c:pt idx="166">
                  <c:v>30.847018037428857</c:v>
                </c:pt>
                <c:pt idx="167">
                  <c:v>31.032843447292887</c:v>
                </c:pt>
                <c:pt idx="168">
                  <c:v>31.218668857156917</c:v>
                </c:pt>
                <c:pt idx="169">
                  <c:v>31.404494267020947</c:v>
                </c:pt>
                <c:pt idx="170">
                  <c:v>31.590319676884977</c:v>
                </c:pt>
                <c:pt idx="171">
                  <c:v>31.776145086749008</c:v>
                </c:pt>
                <c:pt idx="172">
                  <c:v>31.961970496613038</c:v>
                </c:pt>
                <c:pt idx="173">
                  <c:v>32.147795906477064</c:v>
                </c:pt>
                <c:pt idx="174">
                  <c:v>32.333621316341095</c:v>
                </c:pt>
                <c:pt idx="175">
                  <c:v>32.519446726205125</c:v>
                </c:pt>
                <c:pt idx="176">
                  <c:v>32.705272136069155</c:v>
                </c:pt>
                <c:pt idx="177">
                  <c:v>32.891097545933185</c:v>
                </c:pt>
                <c:pt idx="178">
                  <c:v>33.076922955797215</c:v>
                </c:pt>
                <c:pt idx="179">
                  <c:v>33.262748365661245</c:v>
                </c:pt>
                <c:pt idx="180">
                  <c:v>33.448573775525276</c:v>
                </c:pt>
                <c:pt idx="181">
                  <c:v>33.634399185389306</c:v>
                </c:pt>
                <c:pt idx="182">
                  <c:v>33.820224595253336</c:v>
                </c:pt>
                <c:pt idx="183">
                  <c:v>34.006050005117366</c:v>
                </c:pt>
                <c:pt idx="184">
                  <c:v>34.191875414981396</c:v>
                </c:pt>
                <c:pt idx="185">
                  <c:v>34.377700824845427</c:v>
                </c:pt>
                <c:pt idx="186">
                  <c:v>34.563526234709457</c:v>
                </c:pt>
                <c:pt idx="187">
                  <c:v>34.749351644573487</c:v>
                </c:pt>
                <c:pt idx="188">
                  <c:v>34.935177054437517</c:v>
                </c:pt>
                <c:pt idx="189">
                  <c:v>35.121002464301547</c:v>
                </c:pt>
                <c:pt idx="190">
                  <c:v>35.306827874165577</c:v>
                </c:pt>
                <c:pt idx="191">
                  <c:v>35.492653284029608</c:v>
                </c:pt>
                <c:pt idx="192">
                  <c:v>35.678478693893638</c:v>
                </c:pt>
                <c:pt idx="193">
                  <c:v>35.864304103757668</c:v>
                </c:pt>
                <c:pt idx="194">
                  <c:v>36.050129513621698</c:v>
                </c:pt>
                <c:pt idx="195">
                  <c:v>36.235954923485728</c:v>
                </c:pt>
                <c:pt idx="196">
                  <c:v>36.421780333349759</c:v>
                </c:pt>
                <c:pt idx="197">
                  <c:v>36.607605743213789</c:v>
                </c:pt>
                <c:pt idx="198">
                  <c:v>36.793431153077819</c:v>
                </c:pt>
                <c:pt idx="199">
                  <c:v>36.979256562941849</c:v>
                </c:pt>
              </c:numCache>
            </c:numRef>
          </c:cat>
          <c:val>
            <c:numRef>
              <c:f>Hill_Saturation!$X$3:$X$202</c:f>
              <c:numCache>
                <c:formatCode>General</c:formatCode>
                <c:ptCount val="200"/>
                <c:pt idx="0">
                  <c:v>0</c:v>
                </c:pt>
                <c:pt idx="1">
                  <c:v>1.3255240962552289E-2</c:v>
                </c:pt>
                <c:pt idx="2">
                  <c:v>3.2017634209309975E-2</c:v>
                </c:pt>
                <c:pt idx="3">
                  <c:v>5.3059496306960184E-2</c:v>
                </c:pt>
                <c:pt idx="4">
                  <c:v>7.5310689626947494E-2</c:v>
                </c:pt>
                <c:pt idx="5">
                  <c:v>9.8167898615319854E-2</c:v>
                </c:pt>
                <c:pt idx="6">
                  <c:v>0.12124092648724212</c:v>
                </c:pt>
                <c:pt idx="7">
                  <c:v>0.14426174974609127</c:v>
                </c:pt>
                <c:pt idx="8">
                  <c:v>0.16704110429291161</c:v>
                </c:pt>
                <c:pt idx="9">
                  <c:v>0.18944408161731574</c:v>
                </c:pt>
                <c:pt idx="10">
                  <c:v>0.21137489193828682</c:v>
                </c:pt>
                <c:pt idx="11">
                  <c:v>0.23276665228925628</c:v>
                </c:pt>
                <c:pt idx="12">
                  <c:v>0.25357419859601799</c:v>
                </c:pt>
                <c:pt idx="13">
                  <c:v>0.27376884909533672</c:v>
                </c:pt>
                <c:pt idx="14">
                  <c:v>0.29333449499639741</c:v>
                </c:pt>
                <c:pt idx="15">
                  <c:v>0.31226463058702747</c:v>
                </c:pt>
                <c:pt idx="16">
                  <c:v>0.33056006867839444</c:v>
                </c:pt>
                <c:pt idx="17">
                  <c:v>0.34822716760819161</c:v>
                </c:pt>
                <c:pt idx="18">
                  <c:v>0.36527644681166643</c:v>
                </c:pt>
                <c:pt idx="19">
                  <c:v>0.38172150150261519</c:v>
                </c:pt>
                <c:pt idx="20">
                  <c:v>0.39757814996697688</c:v>
                </c:pt>
                <c:pt idx="21">
                  <c:v>0.41286376317849693</c:v>
                </c:pt>
                <c:pt idx="22">
                  <c:v>0.42759673817736699</c:v>
                </c:pt>
                <c:pt idx="23">
                  <c:v>0.44179608532242698</c:v>
                </c:pt>
                <c:pt idx="24">
                  <c:v>0.4554811060442624</c:v>
                </c:pt>
                <c:pt idx="25">
                  <c:v>0.46867114269351423</c:v>
                </c:pt>
                <c:pt idx="26">
                  <c:v>0.48138538590782914</c:v>
                </c:pt>
                <c:pt idx="27">
                  <c:v>0.4936427279004873</c:v>
                </c:pt>
                <c:pt idx="28">
                  <c:v>0.50546165241025809</c:v>
                </c:pt>
                <c:pt idx="29">
                  <c:v>0.51686015389597539</c:v>
                </c:pt>
                <c:pt idx="30">
                  <c:v>0.52785568002229333</c:v>
                </c:pt>
                <c:pt idx="31">
                  <c:v>0.53846509264897335</c:v>
                </c:pt>
                <c:pt idx="32">
                  <c:v>0.5487046434686762</c:v>
                </c:pt>
                <c:pt idx="33">
                  <c:v>0.5585899611866032</c:v>
                </c:pt>
                <c:pt idx="34">
                  <c:v>0.56813604773746484</c:v>
                </c:pt>
                <c:pt idx="35">
                  <c:v>0.57735728152080878</c:v>
                </c:pt>
                <c:pt idx="36">
                  <c:v>0.58626742602799631</c:v>
                </c:pt>
                <c:pt idx="37">
                  <c:v>0.59487964255151682</c:v>
                </c:pt>
                <c:pt idx="38">
                  <c:v>0.60320650592444525</c:v>
                </c:pt>
                <c:pt idx="39">
                  <c:v>0.61126002244633759</c:v>
                </c:pt>
                <c:pt idx="40">
                  <c:v>0.61905164932102141</c:v>
                </c:pt>
                <c:pt idx="41">
                  <c:v>0.62659231506904089</c:v>
                </c:pt>
                <c:pt idx="42">
                  <c:v>0.63389244048896887</c:v>
                </c:pt>
                <c:pt idx="43">
                  <c:v>0.64096195983223581</c:v>
                </c:pt>
                <c:pt idx="44">
                  <c:v>0.64781034192948417</c:v>
                </c:pt>
                <c:pt idx="45">
                  <c:v>0.65444661106588486</c:v>
                </c:pt>
                <c:pt idx="46">
                  <c:v>0.660879367450942</c:v>
                </c:pt>
                <c:pt idx="47">
                  <c:v>0.66711680716715405</c:v>
                </c:pt>
                <c:pt idx="48">
                  <c:v>0.67316674151318145</c:v>
                </c:pt>
                <c:pt idx="49">
                  <c:v>0.67903661568231333</c:v>
                </c:pt>
                <c:pt idx="50">
                  <c:v>0.68473352673712073</c:v>
                </c:pt>
                <c:pt idx="51">
                  <c:v>0.69026424085720006</c:v>
                </c:pt>
                <c:pt idx="52">
                  <c:v>0.69563520984956773</c:v>
                </c:pt>
                <c:pt idx="53">
                  <c:v>0.70085258692121621</c:v>
                </c:pt>
                <c:pt idx="54">
                  <c:v>0.70592224172106144</c:v>
                </c:pt>
                <c:pt idx="55">
                  <c:v>0.71084977466444588</c:v>
                </c:pt>
                <c:pt idx="56">
                  <c:v>0.71564053055782584</c:v>
                </c:pt>
                <c:pt idx="57">
                  <c:v>0.72029961154456057</c:v>
                </c:pt>
                <c:pt idx="58">
                  <c:v>0.72483188939506227</c:v>
                </c:pt>
                <c:pt idx="59">
                  <c:v>0.72924201716613246</c:v>
                </c:pt>
                <c:pt idx="60">
                  <c:v>0.73353444025528336</c:v>
                </c:pt>
                <c:pt idx="61">
                  <c:v>0.73771340687631193</c:v>
                </c:pt>
                <c:pt idx="62">
                  <c:v>0.74178297798249915</c:v>
                </c:pt>
                <c:pt idx="63">
                  <c:v>0.74574703666359865</c:v>
                </c:pt>
                <c:pt idx="64">
                  <c:v>0.74960929704235157</c:v>
                </c:pt>
                <c:pt idx="65">
                  <c:v>0.75337331269566132</c:v>
                </c:pt>
                <c:pt idx="66">
                  <c:v>0.75704248462481438</c:v>
                </c:pt>
                <c:pt idx="67">
                  <c:v>0.76062006879831978</c:v>
                </c:pt>
                <c:pt idx="68">
                  <c:v>0.76410918329004018</c:v>
                </c:pt>
                <c:pt idx="69">
                  <c:v>0.76751281503435498</c:v>
                </c:pt>
                <c:pt idx="70">
                  <c:v>0.77083382621914631</c:v>
                </c:pt>
                <c:pt idx="71">
                  <c:v>0.77407496033643586</c:v>
                </c:pt>
                <c:pt idx="72">
                  <c:v>0.77723884790955244</c:v>
                </c:pt>
                <c:pt idx="73">
                  <c:v>0.78032801191475809</c:v>
                </c:pt>
                <c:pt idx="74">
                  <c:v>0.78334487291435539</c:v>
                </c:pt>
                <c:pt idx="75">
                  <c:v>0.78629175391739803</c:v>
                </c:pt>
                <c:pt idx="76">
                  <c:v>0.78917088498326116</c:v>
                </c:pt>
                <c:pt idx="77">
                  <c:v>0.79198440758250743</c:v>
                </c:pt>
                <c:pt idx="78">
                  <c:v>0.79473437872867869</c:v>
                </c:pt>
                <c:pt idx="79">
                  <c:v>0.79742277489388591</c:v>
                </c:pt>
                <c:pt idx="80">
                  <c:v>0.80005149572034728</c:v>
                </c:pt>
                <c:pt idx="81">
                  <c:v>0.80262236753932736</c:v>
                </c:pt>
                <c:pt idx="82">
                  <c:v>0.80513714670827996</c:v>
                </c:pt>
                <c:pt idx="83">
                  <c:v>0.80759752277637531</c:v>
                </c:pt>
                <c:pt idx="84">
                  <c:v>0.81000512148799897</c:v>
                </c:pt>
                <c:pt idx="85">
                  <c:v>0.81236150763326165</c:v>
                </c:pt>
                <c:pt idx="86">
                  <c:v>0.81466818775402572</c:v>
                </c:pt>
                <c:pt idx="87">
                  <c:v>0.81692661271346489</c:v>
                </c:pt>
                <c:pt idx="88">
                  <c:v>0.8191381801367017</c:v>
                </c:pt>
                <c:pt idx="89">
                  <c:v>0.82130423672962871</c:v>
                </c:pt>
                <c:pt idx="90">
                  <c:v>0.82342608048260579</c:v>
                </c:pt>
                <c:pt idx="91">
                  <c:v>0.82550496276533181</c:v>
                </c:pt>
                <c:pt idx="92">
                  <c:v>0.82754209031882575</c:v>
                </c:pt>
                <c:pt idx="93">
                  <c:v>0.82953862715010307</c:v>
                </c:pt>
                <c:pt idx="94">
                  <c:v>0.83149569633481146</c:v>
                </c:pt>
                <c:pt idx="95">
                  <c:v>0.8334143817327816</c:v>
                </c:pt>
                <c:pt idx="96">
                  <c:v>0.83529572962116305</c:v>
                </c:pt>
                <c:pt idx="97">
                  <c:v>0.83714075024954537</c:v>
                </c:pt>
                <c:pt idx="98">
                  <c:v>0.83895041932121084</c:v>
                </c:pt>
                <c:pt idx="99">
                  <c:v>0.84072567940442533</c:v>
                </c:pt>
                <c:pt idx="100">
                  <c:v>0.84246744127745232</c:v>
                </c:pt>
                <c:pt idx="101">
                  <c:v>0.84417658521076266</c:v>
                </c:pt>
                <c:pt idx="102">
                  <c:v>0.84585396218971609</c:v>
                </c:pt>
                <c:pt idx="103">
                  <c:v>0.84750039508080277</c:v>
                </c:pt>
                <c:pt idx="104">
                  <c:v>0.84911667974436056</c:v>
                </c:pt>
                <c:pt idx="105">
                  <c:v>0.85070358609651942</c:v>
                </c:pt>
                <c:pt idx="106">
                  <c:v>0.85226185912296548</c:v>
                </c:pt>
                <c:pt idx="107">
                  <c:v>0.85379221984698039</c:v>
                </c:pt>
                <c:pt idx="108">
                  <c:v>0.85529536625406788</c:v>
                </c:pt>
                <c:pt idx="109">
                  <c:v>0.85677197417535189</c:v>
                </c:pt>
                <c:pt idx="110">
                  <c:v>0.85822269813181673</c:v>
                </c:pt>
                <c:pt idx="111">
                  <c:v>0.85964817214133471</c:v>
                </c:pt>
                <c:pt idx="112">
                  <c:v>0.86104901049033167</c:v>
                </c:pt>
                <c:pt idx="113">
                  <c:v>0.86242580847183148</c:v>
                </c:pt>
                <c:pt idx="114">
                  <c:v>0.86377914309152937</c:v>
                </c:pt>
                <c:pt idx="115">
                  <c:v>0.86510957374345665</c:v>
                </c:pt>
                <c:pt idx="116">
                  <c:v>0.86641764285670975</c:v>
                </c:pt>
                <c:pt idx="117">
                  <c:v>0.86770387651464576</c:v>
                </c:pt>
                <c:pt idx="118">
                  <c:v>0.86896878504786257</c:v>
                </c:pt>
                <c:pt idx="119">
                  <c:v>0.87021286360222061</c:v>
                </c:pt>
                <c:pt idx="120">
                  <c:v>0.87143659268308904</c:v>
                </c:pt>
                <c:pt idx="121">
                  <c:v>0.87264043867694485</c:v>
                </c:pt>
                <c:pt idx="122">
                  <c:v>0.8738248543513859</c:v>
                </c:pt>
                <c:pt idx="123">
                  <c:v>0.8749902793345723</c:v>
                </c:pt>
                <c:pt idx="124">
                  <c:v>0.87613714057504899</c:v>
                </c:pt>
                <c:pt idx="125">
                  <c:v>0.87726585278286306</c:v>
                </c:pt>
                <c:pt idx="126">
                  <c:v>0.87837681885283336</c:v>
                </c:pt>
                <c:pt idx="127">
                  <c:v>0.87947043027079197</c:v>
                </c:pt>
                <c:pt idx="128">
                  <c:v>0.8805470675035727</c:v>
                </c:pt>
                <c:pt idx="129">
                  <c:v>0.88160710037348522</c:v>
                </c:pt>
                <c:pt idx="130">
                  <c:v>0.88265088841797212</c:v>
                </c:pt>
                <c:pt idx="131">
                  <c:v>0.88367878123511578</c:v>
                </c:pt>
                <c:pt idx="132">
                  <c:v>0.88469111881562512</c:v>
                </c:pt>
                <c:pt idx="133">
                  <c:v>0.88568823186190404</c:v>
                </c:pt>
                <c:pt idx="134">
                  <c:v>0.8866704420947692</c:v>
                </c:pt>
                <c:pt idx="135">
                  <c:v>0.88763806254836441</c:v>
                </c:pt>
                <c:pt idx="136">
                  <c:v>0.88859139785378261</c:v>
                </c:pt>
                <c:pt idx="137">
                  <c:v>0.88953074451189051</c:v>
                </c:pt>
                <c:pt idx="138">
                  <c:v>0.89045639115582043</c:v>
                </c:pt>
                <c:pt idx="139">
                  <c:v>0.89136861880357476</c:v>
                </c:pt>
                <c:pt idx="140">
                  <c:v>0.89226770110116771</c:v>
                </c:pt>
                <c:pt idx="141">
                  <c:v>0.89315390455670463</c:v>
                </c:pt>
                <c:pt idx="142">
                  <c:v>0.89402748876578608</c:v>
                </c:pt>
                <c:pt idx="143">
                  <c:v>0.89488870662860076</c:v>
                </c:pt>
                <c:pt idx="144">
                  <c:v>0.89573780455905527</c:v>
                </c:pt>
                <c:pt idx="145">
                  <c:v>0.89657502268627487</c:v>
                </c:pt>
                <c:pt idx="146">
                  <c:v>0.89740059504879144</c:v>
                </c:pt>
                <c:pt idx="147">
                  <c:v>0.89821474978172011</c:v>
                </c:pt>
                <c:pt idx="148">
                  <c:v>0.89901770929721292</c:v>
                </c:pt>
                <c:pt idx="149">
                  <c:v>0.89980969045846582</c:v>
                </c:pt>
                <c:pt idx="150">
                  <c:v>0.90059090474753989</c:v>
                </c:pt>
                <c:pt idx="151">
                  <c:v>0.90136155842724819</c:v>
                </c:pt>
                <c:pt idx="152">
                  <c:v>0.90212185269734613</c:v>
                </c:pt>
                <c:pt idx="153">
                  <c:v>0.9028719838452568</c:v>
                </c:pt>
                <c:pt idx="154">
                  <c:v>0.90361214339154505</c:v>
                </c:pt>
                <c:pt idx="155">
                  <c:v>0.90434251823035228</c:v>
                </c:pt>
                <c:pt idx="156">
                  <c:v>0.90506329076499037</c:v>
                </c:pt>
                <c:pt idx="157">
                  <c:v>0.90577463903888245</c:v>
                </c:pt>
                <c:pt idx="158">
                  <c:v>0.90647673686203745</c:v>
                </c:pt>
                <c:pt idx="159">
                  <c:v>0.90716975393322752</c:v>
                </c:pt>
                <c:pt idx="160">
                  <c:v>0.90785385595803803</c:v>
                </c:pt>
                <c:pt idx="161">
                  <c:v>0.90852920476294763</c:v>
                </c:pt>
                <c:pt idx="162">
                  <c:v>0.90919595840559186</c:v>
                </c:pt>
                <c:pt idx="163">
                  <c:v>0.90985427128135488</c:v>
                </c:pt>
                <c:pt idx="164">
                  <c:v>0.91050429422643064</c:v>
                </c:pt>
                <c:pt idx="165">
                  <c:v>0.91114617461748459</c:v>
                </c:pt>
                <c:pt idx="166">
                  <c:v>0.91178005646804683</c:v>
                </c:pt>
                <c:pt idx="167">
                  <c:v>0.91240608052175665</c:v>
                </c:pt>
                <c:pt idx="168">
                  <c:v>0.91302438434257782</c:v>
                </c:pt>
                <c:pt idx="169">
                  <c:v>0.91363510240209533</c:v>
                </c:pt>
                <c:pt idx="170">
                  <c:v>0.91423836616400367</c:v>
                </c:pt>
                <c:pt idx="171">
                  <c:v>0.9148343041658874</c:v>
                </c:pt>
                <c:pt idx="172">
                  <c:v>0.91542304209839531</c:v>
                </c:pt>
                <c:pt idx="173">
                  <c:v>0.91600470288190161</c:v>
                </c:pt>
                <c:pt idx="174">
                  <c:v>0.916579406740747</c:v>
                </c:pt>
                <c:pt idx="175">
                  <c:v>0.9171472712751445</c:v>
                </c:pt>
                <c:pt idx="176">
                  <c:v>0.91770841153083682</c:v>
                </c:pt>
                <c:pt idx="177">
                  <c:v>0.91826294006658382</c:v>
                </c:pt>
                <c:pt idx="178">
                  <c:v>0.91881096701955778</c:v>
                </c:pt>
                <c:pt idx="179">
                  <c:v>0.91935260016872111</c:v>
                </c:pt>
                <c:pt idx="180">
                  <c:v>0.91988794499625715</c:v>
                </c:pt>
                <c:pt idx="181">
                  <c:v>0.92041710474712302</c:v>
                </c:pt>
                <c:pt idx="182">
                  <c:v>0.92094018048678983</c:v>
                </c:pt>
                <c:pt idx="183">
                  <c:v>0.92145727115723319</c:v>
                </c:pt>
                <c:pt idx="184">
                  <c:v>0.92196847363123569</c:v>
                </c:pt>
                <c:pt idx="185">
                  <c:v>0.92247388276505804</c:v>
                </c:pt>
                <c:pt idx="186">
                  <c:v>0.92297359144953683</c:v>
                </c:pt>
                <c:pt idx="187">
                  <c:v>0.92346769065966072</c:v>
                </c:pt>
                <c:pt idx="188">
                  <c:v>0.92395626950267884</c:v>
                </c:pt>
                <c:pt idx="189">
                  <c:v>0.9244394152647899</c:v>
                </c:pt>
                <c:pt idx="190">
                  <c:v>0.92491721345646005</c:v>
                </c:pt>
                <c:pt idx="191">
                  <c:v>0.92538974785641603</c:v>
                </c:pt>
                <c:pt idx="192">
                  <c:v>0.92585710055435877</c:v>
                </c:pt>
                <c:pt idx="193">
                  <c:v>0.92631935199243742</c:v>
                </c:pt>
                <c:pt idx="194">
                  <c:v>0.92677658100552784</c:v>
                </c:pt>
                <c:pt idx="195">
                  <c:v>0.92722886486035405</c:v>
                </c:pt>
                <c:pt idx="196">
                  <c:v>0.92767627929348984</c:v>
                </c:pt>
                <c:pt idx="197">
                  <c:v>0.92811889854827856</c:v>
                </c:pt>
                <c:pt idx="198">
                  <c:v>0.92855679541070546</c:v>
                </c:pt>
                <c:pt idx="199">
                  <c:v>0.92899004124425766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0-46E3-8569-CC934D15E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160255"/>
        <c:axId val="1143157375"/>
      </c:lineChart>
      <c:catAx>
        <c:axId val="11431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57375"/>
        <c:crosses val="autoZero"/>
        <c:auto val="1"/>
        <c:lblAlgn val="ctr"/>
        <c:lblOffset val="100"/>
        <c:noMultiLvlLbl val="0"/>
      </c:catAx>
      <c:valAx>
        <c:axId val="11431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Monsoon_vs_Sales_units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Monsoon_vs_Sales_units!$C$1</c:f>
              <c:strCache>
                <c:ptCount val="1"/>
                <c:pt idx="0">
                  <c:v>sales_units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Monsoon_vs_Sales_units!$A$2:$A$105</c:f>
              <c:numCache>
                <c:formatCode>m/d/yyyy</c:formatCode>
                <c:ptCount val="104"/>
                <c:pt idx="0">
                  <c:v>45293</c:v>
                </c:pt>
                <c:pt idx="1">
                  <c:v>45300</c:v>
                </c:pt>
                <c:pt idx="2">
                  <c:v>45307</c:v>
                </c:pt>
                <c:pt idx="3">
                  <c:v>45314</c:v>
                </c:pt>
                <c:pt idx="4">
                  <c:v>45321</c:v>
                </c:pt>
                <c:pt idx="5">
                  <c:v>45328</c:v>
                </c:pt>
                <c:pt idx="6">
                  <c:v>45335</c:v>
                </c:pt>
                <c:pt idx="7">
                  <c:v>45342</c:v>
                </c:pt>
                <c:pt idx="8">
                  <c:v>45349</c:v>
                </c:pt>
                <c:pt idx="9">
                  <c:v>45356</c:v>
                </c:pt>
                <c:pt idx="10">
                  <c:v>45363</c:v>
                </c:pt>
                <c:pt idx="11">
                  <c:v>45370</c:v>
                </c:pt>
                <c:pt idx="12">
                  <c:v>45377</c:v>
                </c:pt>
                <c:pt idx="13">
                  <c:v>45384</c:v>
                </c:pt>
                <c:pt idx="14">
                  <c:v>45391</c:v>
                </c:pt>
                <c:pt idx="15">
                  <c:v>45398</c:v>
                </c:pt>
                <c:pt idx="16">
                  <c:v>45405</c:v>
                </c:pt>
                <c:pt idx="17">
                  <c:v>45412</c:v>
                </c:pt>
                <c:pt idx="18">
                  <c:v>45419</c:v>
                </c:pt>
                <c:pt idx="19">
                  <c:v>45426</c:v>
                </c:pt>
                <c:pt idx="20">
                  <c:v>45433</c:v>
                </c:pt>
                <c:pt idx="21">
                  <c:v>45440</c:v>
                </c:pt>
                <c:pt idx="22">
                  <c:v>45447</c:v>
                </c:pt>
                <c:pt idx="23">
                  <c:v>45454</c:v>
                </c:pt>
                <c:pt idx="24">
                  <c:v>45461</c:v>
                </c:pt>
                <c:pt idx="25">
                  <c:v>45468</c:v>
                </c:pt>
                <c:pt idx="26">
                  <c:v>45475</c:v>
                </c:pt>
                <c:pt idx="27">
                  <c:v>45482</c:v>
                </c:pt>
                <c:pt idx="28">
                  <c:v>45489</c:v>
                </c:pt>
                <c:pt idx="29">
                  <c:v>45496</c:v>
                </c:pt>
                <c:pt idx="30">
                  <c:v>45503</c:v>
                </c:pt>
                <c:pt idx="31">
                  <c:v>45510</c:v>
                </c:pt>
                <c:pt idx="32">
                  <c:v>45517</c:v>
                </c:pt>
                <c:pt idx="33">
                  <c:v>45524</c:v>
                </c:pt>
                <c:pt idx="34">
                  <c:v>45531</c:v>
                </c:pt>
                <c:pt idx="35">
                  <c:v>45538</c:v>
                </c:pt>
                <c:pt idx="36">
                  <c:v>45545</c:v>
                </c:pt>
                <c:pt idx="37">
                  <c:v>45552</c:v>
                </c:pt>
                <c:pt idx="38">
                  <c:v>45559</c:v>
                </c:pt>
                <c:pt idx="39">
                  <c:v>45566</c:v>
                </c:pt>
                <c:pt idx="40">
                  <c:v>45573</c:v>
                </c:pt>
                <c:pt idx="41">
                  <c:v>45580</c:v>
                </c:pt>
                <c:pt idx="42">
                  <c:v>45587</c:v>
                </c:pt>
                <c:pt idx="43">
                  <c:v>45594</c:v>
                </c:pt>
                <c:pt idx="44">
                  <c:v>45601</c:v>
                </c:pt>
                <c:pt idx="45">
                  <c:v>45608</c:v>
                </c:pt>
                <c:pt idx="46">
                  <c:v>45615</c:v>
                </c:pt>
                <c:pt idx="47">
                  <c:v>45622</c:v>
                </c:pt>
                <c:pt idx="48">
                  <c:v>45629</c:v>
                </c:pt>
                <c:pt idx="49">
                  <c:v>45636</c:v>
                </c:pt>
                <c:pt idx="50">
                  <c:v>45643</c:v>
                </c:pt>
                <c:pt idx="51">
                  <c:v>45650</c:v>
                </c:pt>
                <c:pt idx="52">
                  <c:v>45657</c:v>
                </c:pt>
                <c:pt idx="53">
                  <c:v>45664</c:v>
                </c:pt>
                <c:pt idx="54">
                  <c:v>45671</c:v>
                </c:pt>
                <c:pt idx="55">
                  <c:v>45678</c:v>
                </c:pt>
                <c:pt idx="56">
                  <c:v>45685</c:v>
                </c:pt>
                <c:pt idx="57">
                  <c:v>45692</c:v>
                </c:pt>
                <c:pt idx="58">
                  <c:v>45699</c:v>
                </c:pt>
                <c:pt idx="59">
                  <c:v>45706</c:v>
                </c:pt>
                <c:pt idx="60">
                  <c:v>45713</c:v>
                </c:pt>
                <c:pt idx="61">
                  <c:v>45720</c:v>
                </c:pt>
                <c:pt idx="62">
                  <c:v>45727</c:v>
                </c:pt>
                <c:pt idx="63">
                  <c:v>45734</c:v>
                </c:pt>
                <c:pt idx="64">
                  <c:v>45741</c:v>
                </c:pt>
                <c:pt idx="65">
                  <c:v>45748</c:v>
                </c:pt>
                <c:pt idx="66">
                  <c:v>45755</c:v>
                </c:pt>
                <c:pt idx="67">
                  <c:v>45762</c:v>
                </c:pt>
                <c:pt idx="68">
                  <c:v>45769</c:v>
                </c:pt>
                <c:pt idx="69">
                  <c:v>45776</c:v>
                </c:pt>
                <c:pt idx="70">
                  <c:v>45783</c:v>
                </c:pt>
                <c:pt idx="71">
                  <c:v>45790</c:v>
                </c:pt>
                <c:pt idx="72">
                  <c:v>45797</c:v>
                </c:pt>
                <c:pt idx="73">
                  <c:v>45804</c:v>
                </c:pt>
                <c:pt idx="74">
                  <c:v>45811</c:v>
                </c:pt>
                <c:pt idx="75">
                  <c:v>45818</c:v>
                </c:pt>
                <c:pt idx="76">
                  <c:v>45825</c:v>
                </c:pt>
                <c:pt idx="77">
                  <c:v>45832</c:v>
                </c:pt>
                <c:pt idx="78">
                  <c:v>45839</c:v>
                </c:pt>
                <c:pt idx="79">
                  <c:v>45846</c:v>
                </c:pt>
                <c:pt idx="80">
                  <c:v>45853</c:v>
                </c:pt>
                <c:pt idx="81">
                  <c:v>45860</c:v>
                </c:pt>
                <c:pt idx="82">
                  <c:v>45867</c:v>
                </c:pt>
                <c:pt idx="83">
                  <c:v>45874</c:v>
                </c:pt>
                <c:pt idx="84">
                  <c:v>45881</c:v>
                </c:pt>
                <c:pt idx="85">
                  <c:v>45888</c:v>
                </c:pt>
                <c:pt idx="86">
                  <c:v>45895</c:v>
                </c:pt>
                <c:pt idx="87">
                  <c:v>45902</c:v>
                </c:pt>
                <c:pt idx="88">
                  <c:v>45909</c:v>
                </c:pt>
                <c:pt idx="89">
                  <c:v>45916</c:v>
                </c:pt>
                <c:pt idx="90">
                  <c:v>45923</c:v>
                </c:pt>
                <c:pt idx="91">
                  <c:v>45930</c:v>
                </c:pt>
                <c:pt idx="92">
                  <c:v>45937</c:v>
                </c:pt>
                <c:pt idx="93">
                  <c:v>45944</c:v>
                </c:pt>
                <c:pt idx="94">
                  <c:v>45951</c:v>
                </c:pt>
                <c:pt idx="95">
                  <c:v>45958</c:v>
                </c:pt>
                <c:pt idx="96">
                  <c:v>45965</c:v>
                </c:pt>
                <c:pt idx="97">
                  <c:v>45972</c:v>
                </c:pt>
                <c:pt idx="98">
                  <c:v>45979</c:v>
                </c:pt>
                <c:pt idx="99">
                  <c:v>45986</c:v>
                </c:pt>
                <c:pt idx="100">
                  <c:v>45993</c:v>
                </c:pt>
                <c:pt idx="101">
                  <c:v>46000</c:v>
                </c:pt>
                <c:pt idx="102">
                  <c:v>46007</c:v>
                </c:pt>
                <c:pt idx="103">
                  <c:v>46014</c:v>
                </c:pt>
              </c:numCache>
            </c:numRef>
          </c:cat>
          <c:val>
            <c:numRef>
              <c:f>Monsoon_vs_Sales_units!$C$2:$C$105</c:f>
              <c:numCache>
                <c:formatCode>General</c:formatCode>
                <c:ptCount val="104"/>
                <c:pt idx="0">
                  <c:v>1220</c:v>
                </c:pt>
                <c:pt idx="1">
                  <c:v>1239</c:v>
                </c:pt>
                <c:pt idx="2">
                  <c:v>1723</c:v>
                </c:pt>
                <c:pt idx="3">
                  <c:v>1775</c:v>
                </c:pt>
                <c:pt idx="4">
                  <c:v>1668</c:v>
                </c:pt>
                <c:pt idx="5">
                  <c:v>1721</c:v>
                </c:pt>
                <c:pt idx="6">
                  <c:v>1827</c:v>
                </c:pt>
                <c:pt idx="7">
                  <c:v>1754</c:v>
                </c:pt>
                <c:pt idx="8">
                  <c:v>1723</c:v>
                </c:pt>
                <c:pt idx="9">
                  <c:v>1732</c:v>
                </c:pt>
                <c:pt idx="10">
                  <c:v>1939</c:v>
                </c:pt>
                <c:pt idx="11">
                  <c:v>1943</c:v>
                </c:pt>
                <c:pt idx="12">
                  <c:v>1854</c:v>
                </c:pt>
                <c:pt idx="13">
                  <c:v>2001</c:v>
                </c:pt>
                <c:pt idx="14">
                  <c:v>2005</c:v>
                </c:pt>
                <c:pt idx="15">
                  <c:v>2021</c:v>
                </c:pt>
                <c:pt idx="16">
                  <c:v>1970</c:v>
                </c:pt>
                <c:pt idx="17">
                  <c:v>1850</c:v>
                </c:pt>
                <c:pt idx="18">
                  <c:v>1838</c:v>
                </c:pt>
                <c:pt idx="19">
                  <c:v>2194</c:v>
                </c:pt>
                <c:pt idx="20">
                  <c:v>2035</c:v>
                </c:pt>
                <c:pt idx="21">
                  <c:v>2044</c:v>
                </c:pt>
                <c:pt idx="22">
                  <c:v>1944</c:v>
                </c:pt>
                <c:pt idx="23">
                  <c:v>1797</c:v>
                </c:pt>
                <c:pt idx="24">
                  <c:v>1989</c:v>
                </c:pt>
                <c:pt idx="25">
                  <c:v>1779</c:v>
                </c:pt>
                <c:pt idx="26">
                  <c:v>1789</c:v>
                </c:pt>
                <c:pt idx="27">
                  <c:v>1695</c:v>
                </c:pt>
                <c:pt idx="28">
                  <c:v>1938</c:v>
                </c:pt>
                <c:pt idx="29">
                  <c:v>1900</c:v>
                </c:pt>
                <c:pt idx="30">
                  <c:v>1933</c:v>
                </c:pt>
                <c:pt idx="31">
                  <c:v>1900</c:v>
                </c:pt>
                <c:pt idx="32">
                  <c:v>1849</c:v>
                </c:pt>
                <c:pt idx="33">
                  <c:v>2031</c:v>
                </c:pt>
                <c:pt idx="34">
                  <c:v>2231</c:v>
                </c:pt>
                <c:pt idx="35">
                  <c:v>2217</c:v>
                </c:pt>
                <c:pt idx="36">
                  <c:v>2096</c:v>
                </c:pt>
                <c:pt idx="37">
                  <c:v>2163</c:v>
                </c:pt>
                <c:pt idx="38">
                  <c:v>1939</c:v>
                </c:pt>
                <c:pt idx="39">
                  <c:v>1911</c:v>
                </c:pt>
                <c:pt idx="40">
                  <c:v>1693</c:v>
                </c:pt>
                <c:pt idx="41">
                  <c:v>1829</c:v>
                </c:pt>
                <c:pt idx="42">
                  <c:v>1804</c:v>
                </c:pt>
                <c:pt idx="43">
                  <c:v>1918</c:v>
                </c:pt>
                <c:pt idx="44">
                  <c:v>1994</c:v>
                </c:pt>
                <c:pt idx="45">
                  <c:v>2082</c:v>
                </c:pt>
                <c:pt idx="46">
                  <c:v>2054</c:v>
                </c:pt>
                <c:pt idx="47">
                  <c:v>2103</c:v>
                </c:pt>
                <c:pt idx="48">
                  <c:v>2039</c:v>
                </c:pt>
                <c:pt idx="49">
                  <c:v>2107</c:v>
                </c:pt>
                <c:pt idx="50">
                  <c:v>2166</c:v>
                </c:pt>
                <c:pt idx="51">
                  <c:v>2004</c:v>
                </c:pt>
                <c:pt idx="52">
                  <c:v>2058</c:v>
                </c:pt>
                <c:pt idx="53">
                  <c:v>1961</c:v>
                </c:pt>
                <c:pt idx="54">
                  <c:v>2071</c:v>
                </c:pt>
                <c:pt idx="55">
                  <c:v>1979</c:v>
                </c:pt>
                <c:pt idx="56">
                  <c:v>1867</c:v>
                </c:pt>
                <c:pt idx="57">
                  <c:v>1969</c:v>
                </c:pt>
                <c:pt idx="58">
                  <c:v>2001</c:v>
                </c:pt>
                <c:pt idx="59">
                  <c:v>2053</c:v>
                </c:pt>
                <c:pt idx="60">
                  <c:v>1990</c:v>
                </c:pt>
                <c:pt idx="61">
                  <c:v>1983</c:v>
                </c:pt>
                <c:pt idx="62">
                  <c:v>1969</c:v>
                </c:pt>
                <c:pt idx="63">
                  <c:v>1916</c:v>
                </c:pt>
                <c:pt idx="64">
                  <c:v>2000</c:v>
                </c:pt>
                <c:pt idx="65">
                  <c:v>2087</c:v>
                </c:pt>
                <c:pt idx="66">
                  <c:v>2251</c:v>
                </c:pt>
                <c:pt idx="67">
                  <c:v>2165</c:v>
                </c:pt>
                <c:pt idx="68">
                  <c:v>2119</c:v>
                </c:pt>
                <c:pt idx="69">
                  <c:v>2138</c:v>
                </c:pt>
                <c:pt idx="70">
                  <c:v>2169</c:v>
                </c:pt>
                <c:pt idx="71">
                  <c:v>2155</c:v>
                </c:pt>
                <c:pt idx="72">
                  <c:v>2107</c:v>
                </c:pt>
                <c:pt idx="73">
                  <c:v>1964</c:v>
                </c:pt>
                <c:pt idx="74">
                  <c:v>1934</c:v>
                </c:pt>
                <c:pt idx="75">
                  <c:v>1923</c:v>
                </c:pt>
                <c:pt idx="76">
                  <c:v>1950</c:v>
                </c:pt>
                <c:pt idx="77">
                  <c:v>1809</c:v>
                </c:pt>
                <c:pt idx="78">
                  <c:v>1838</c:v>
                </c:pt>
                <c:pt idx="79">
                  <c:v>2036</c:v>
                </c:pt>
                <c:pt idx="80">
                  <c:v>2048</c:v>
                </c:pt>
                <c:pt idx="81">
                  <c:v>2284</c:v>
                </c:pt>
                <c:pt idx="82">
                  <c:v>2296</c:v>
                </c:pt>
                <c:pt idx="83">
                  <c:v>2157</c:v>
                </c:pt>
                <c:pt idx="84">
                  <c:v>2038</c:v>
                </c:pt>
                <c:pt idx="85">
                  <c:v>2040</c:v>
                </c:pt>
                <c:pt idx="86">
                  <c:v>1963</c:v>
                </c:pt>
                <c:pt idx="87">
                  <c:v>2030</c:v>
                </c:pt>
                <c:pt idx="88">
                  <c:v>2114</c:v>
                </c:pt>
                <c:pt idx="89">
                  <c:v>1994</c:v>
                </c:pt>
                <c:pt idx="90">
                  <c:v>2048</c:v>
                </c:pt>
                <c:pt idx="91">
                  <c:v>2093</c:v>
                </c:pt>
                <c:pt idx="92">
                  <c:v>1907</c:v>
                </c:pt>
                <c:pt idx="93">
                  <c:v>1816</c:v>
                </c:pt>
                <c:pt idx="94">
                  <c:v>1882</c:v>
                </c:pt>
                <c:pt idx="95">
                  <c:v>2041</c:v>
                </c:pt>
                <c:pt idx="96">
                  <c:v>2111</c:v>
                </c:pt>
                <c:pt idx="97">
                  <c:v>1995</c:v>
                </c:pt>
                <c:pt idx="98">
                  <c:v>2040</c:v>
                </c:pt>
                <c:pt idx="99">
                  <c:v>1835</c:v>
                </c:pt>
                <c:pt idx="100">
                  <c:v>1774</c:v>
                </c:pt>
                <c:pt idx="101">
                  <c:v>1872</c:v>
                </c:pt>
                <c:pt idx="102">
                  <c:v>2020</c:v>
                </c:pt>
                <c:pt idx="103">
                  <c:v>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2-4CCD-B104-31D8F02F1ED0}"/>
            </c:ext>
          </c:extLst>
        </c:ser>
        <c:ser>
          <c:idx val="2"/>
          <c:order val="2"/>
          <c:tx>
            <c:strRef>
              <c:f>Monsoon_vs_Sales_units!$D$1</c:f>
              <c:strCache>
                <c:ptCount val="1"/>
                <c:pt idx="0">
                  <c:v>Media_Contribution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Monsoon_vs_Sales_units!$D$2:$D$105</c:f>
              <c:numCache>
                <c:formatCode>General</c:formatCode>
                <c:ptCount val="104"/>
                <c:pt idx="0">
                  <c:v>96.717227822232672</c:v>
                </c:pt>
                <c:pt idx="1">
                  <c:v>118.87217162039272</c:v>
                </c:pt>
                <c:pt idx="2">
                  <c:v>299.27553284001687</c:v>
                </c:pt>
                <c:pt idx="3">
                  <c:v>330.78678802982756</c:v>
                </c:pt>
                <c:pt idx="4">
                  <c:v>286.27189157339984</c:v>
                </c:pt>
                <c:pt idx="5">
                  <c:v>292.03824170780604</c:v>
                </c:pt>
                <c:pt idx="6">
                  <c:v>320.50011664083087</c:v>
                </c:pt>
                <c:pt idx="7">
                  <c:v>296.9042662069271</c:v>
                </c:pt>
                <c:pt idx="8">
                  <c:v>300.67676415683627</c:v>
                </c:pt>
                <c:pt idx="9">
                  <c:v>317.24181662264346</c:v>
                </c:pt>
                <c:pt idx="10">
                  <c:v>384.95177014800151</c:v>
                </c:pt>
                <c:pt idx="11">
                  <c:v>385.09514381584887</c:v>
                </c:pt>
                <c:pt idx="12">
                  <c:v>360.80448984341837</c:v>
                </c:pt>
                <c:pt idx="13">
                  <c:v>392.94720308007425</c:v>
                </c:pt>
                <c:pt idx="14">
                  <c:v>404.32871927261749</c:v>
                </c:pt>
                <c:pt idx="15">
                  <c:v>414.30735072833443</c:v>
                </c:pt>
                <c:pt idx="16">
                  <c:v>411.84307537429089</c:v>
                </c:pt>
                <c:pt idx="17">
                  <c:v>370.7799803610427</c:v>
                </c:pt>
                <c:pt idx="18">
                  <c:v>356.01141488997183</c:v>
                </c:pt>
                <c:pt idx="19">
                  <c:v>477.88123808556213</c:v>
                </c:pt>
                <c:pt idx="20">
                  <c:v>428.83955394431678</c:v>
                </c:pt>
                <c:pt idx="21">
                  <c:v>429.27818343690222</c:v>
                </c:pt>
                <c:pt idx="22">
                  <c:v>393.79948317609222</c:v>
                </c:pt>
                <c:pt idx="23">
                  <c:v>324.74547885902734</c:v>
                </c:pt>
                <c:pt idx="24">
                  <c:v>401.02213926655315</c:v>
                </c:pt>
                <c:pt idx="25">
                  <c:v>325.85088540358873</c:v>
                </c:pt>
                <c:pt idx="26">
                  <c:v>297.34483987944003</c:v>
                </c:pt>
                <c:pt idx="27">
                  <c:v>330.71763862731802</c:v>
                </c:pt>
                <c:pt idx="28">
                  <c:v>408.5842483115938</c:v>
                </c:pt>
                <c:pt idx="29">
                  <c:v>385.26181832112707</c:v>
                </c:pt>
                <c:pt idx="30">
                  <c:v>414.38913814257575</c:v>
                </c:pt>
                <c:pt idx="31">
                  <c:v>395.07724664469987</c:v>
                </c:pt>
                <c:pt idx="32">
                  <c:v>339.19101734633222</c:v>
                </c:pt>
                <c:pt idx="33">
                  <c:v>383.90780901293311</c:v>
                </c:pt>
                <c:pt idx="34">
                  <c:v>512.52356643053292</c:v>
                </c:pt>
                <c:pt idx="35">
                  <c:v>513.25937324861252</c:v>
                </c:pt>
                <c:pt idx="36">
                  <c:v>455.63766283298526</c:v>
                </c:pt>
                <c:pt idx="37">
                  <c:v>495.26533435347773</c:v>
                </c:pt>
                <c:pt idx="38">
                  <c:v>400.16383703732691</c:v>
                </c:pt>
                <c:pt idx="39">
                  <c:v>389.85356366408996</c:v>
                </c:pt>
                <c:pt idx="40">
                  <c:v>320.01744644082606</c:v>
                </c:pt>
                <c:pt idx="41">
                  <c:v>386.82887445698157</c:v>
                </c:pt>
                <c:pt idx="42">
                  <c:v>342.15901471082009</c:v>
                </c:pt>
                <c:pt idx="43">
                  <c:v>411.82127134565548</c:v>
                </c:pt>
                <c:pt idx="44">
                  <c:v>432.5928403253028</c:v>
                </c:pt>
                <c:pt idx="45">
                  <c:v>446.68034864716492</c:v>
                </c:pt>
                <c:pt idx="46">
                  <c:v>422.29418470251738</c:v>
                </c:pt>
                <c:pt idx="47">
                  <c:v>440.75680088238607</c:v>
                </c:pt>
                <c:pt idx="48">
                  <c:v>394.75659512960794</c:v>
                </c:pt>
                <c:pt idx="49">
                  <c:v>446.65047746918987</c:v>
                </c:pt>
                <c:pt idx="50">
                  <c:v>472.1781903076411</c:v>
                </c:pt>
                <c:pt idx="51">
                  <c:v>411.8184303534307</c:v>
                </c:pt>
                <c:pt idx="52">
                  <c:v>395.04791806744856</c:v>
                </c:pt>
                <c:pt idx="53">
                  <c:v>395.2051717141839</c:v>
                </c:pt>
                <c:pt idx="54">
                  <c:v>433.37560049120839</c:v>
                </c:pt>
                <c:pt idx="55">
                  <c:v>400.43129725090239</c:v>
                </c:pt>
                <c:pt idx="56">
                  <c:v>356.3775459455527</c:v>
                </c:pt>
                <c:pt idx="57">
                  <c:v>359.77582971199882</c:v>
                </c:pt>
                <c:pt idx="58">
                  <c:v>399.12663596885557</c:v>
                </c:pt>
                <c:pt idx="59">
                  <c:v>395.59831888837886</c:v>
                </c:pt>
                <c:pt idx="60">
                  <c:v>365.08534372475771</c:v>
                </c:pt>
                <c:pt idx="61">
                  <c:v>369.9701891949357</c:v>
                </c:pt>
                <c:pt idx="62">
                  <c:v>392.43216915448369</c:v>
                </c:pt>
                <c:pt idx="63">
                  <c:v>351.49497630027679</c:v>
                </c:pt>
                <c:pt idx="64">
                  <c:v>389.24957837540472</c:v>
                </c:pt>
                <c:pt idx="65">
                  <c:v>442.89404171122607</c:v>
                </c:pt>
                <c:pt idx="66">
                  <c:v>518.4084539962505</c:v>
                </c:pt>
                <c:pt idx="67">
                  <c:v>479.60723271664887</c:v>
                </c:pt>
                <c:pt idx="68">
                  <c:v>456.66229155111375</c:v>
                </c:pt>
                <c:pt idx="69">
                  <c:v>455.79609843566305</c:v>
                </c:pt>
                <c:pt idx="70">
                  <c:v>480.96643862609238</c:v>
                </c:pt>
                <c:pt idx="71">
                  <c:v>475.5862841075359</c:v>
                </c:pt>
                <c:pt idx="72">
                  <c:v>453.5776420094968</c:v>
                </c:pt>
                <c:pt idx="73">
                  <c:v>390.56720457623265</c:v>
                </c:pt>
                <c:pt idx="74">
                  <c:v>363.91852130176619</c:v>
                </c:pt>
                <c:pt idx="75">
                  <c:v>358.1525813237613</c:v>
                </c:pt>
                <c:pt idx="76">
                  <c:v>369.70508152328551</c:v>
                </c:pt>
                <c:pt idx="77">
                  <c:v>306.74016281727899</c:v>
                </c:pt>
                <c:pt idx="78">
                  <c:v>338.3625307956811</c:v>
                </c:pt>
                <c:pt idx="79">
                  <c:v>382.53357126471508</c:v>
                </c:pt>
                <c:pt idx="80">
                  <c:v>398.21790028395787</c:v>
                </c:pt>
                <c:pt idx="81">
                  <c:v>502.81265315365641</c:v>
                </c:pt>
                <c:pt idx="82">
                  <c:v>504.49091823956968</c:v>
                </c:pt>
                <c:pt idx="83">
                  <c:v>465.80825081907977</c:v>
                </c:pt>
                <c:pt idx="84">
                  <c:v>403.0306975041143</c:v>
                </c:pt>
                <c:pt idx="85">
                  <c:v>397.40064803313811</c:v>
                </c:pt>
                <c:pt idx="86">
                  <c:v>402.78573389489975</c:v>
                </c:pt>
                <c:pt idx="87">
                  <c:v>387.86122599308266</c:v>
                </c:pt>
                <c:pt idx="88">
                  <c:v>420.79774719349274</c:v>
                </c:pt>
                <c:pt idx="89">
                  <c:v>403.34601049960781</c:v>
                </c:pt>
                <c:pt idx="90">
                  <c:v>404.02054431752117</c:v>
                </c:pt>
                <c:pt idx="91">
                  <c:v>411.20128473126869</c:v>
                </c:pt>
                <c:pt idx="92">
                  <c:v>381.33419076917994</c:v>
                </c:pt>
                <c:pt idx="93">
                  <c:v>331.89571602428583</c:v>
                </c:pt>
                <c:pt idx="94">
                  <c:v>360.56563805966817</c:v>
                </c:pt>
                <c:pt idx="95">
                  <c:v>443.13470149825793</c:v>
                </c:pt>
                <c:pt idx="96">
                  <c:v>443.61769187259677</c:v>
                </c:pt>
                <c:pt idx="97">
                  <c:v>394.96342110118985</c:v>
                </c:pt>
                <c:pt idx="98">
                  <c:v>390.03163522901934</c:v>
                </c:pt>
                <c:pt idx="99">
                  <c:v>324.45802149961344</c:v>
                </c:pt>
                <c:pt idx="100">
                  <c:v>311.00477873306886</c:v>
                </c:pt>
                <c:pt idx="101">
                  <c:v>329.911620405147</c:v>
                </c:pt>
                <c:pt idx="102">
                  <c:v>359.45673503370682</c:v>
                </c:pt>
                <c:pt idx="103">
                  <c:v>371.10788550147817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F2-4CCD-B104-31D8F02F1ED0}"/>
            </c:ext>
          </c:extLst>
        </c:ser>
        <c:ser>
          <c:idx val="3"/>
          <c:order val="3"/>
          <c:tx>
            <c:strRef>
              <c:f>Monsoon_vs_Sales_units!$E$1</c:f>
              <c:strCache>
                <c:ptCount val="1"/>
                <c:pt idx="0">
                  <c:v>Baseline_Contribution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Monsoon_vs_Sales_units!$E$2:$E$105</c:f>
              <c:numCache>
                <c:formatCode>General</c:formatCode>
                <c:ptCount val="104"/>
                <c:pt idx="0">
                  <c:v>1477.4923488360555</c:v>
                </c:pt>
                <c:pt idx="1">
                  <c:v>1481.332860017151</c:v>
                </c:pt>
                <c:pt idx="2">
                  <c:v>1471.5117999337347</c:v>
                </c:pt>
                <c:pt idx="3">
                  <c:v>1459.6693347725097</c:v>
                </c:pt>
                <c:pt idx="4">
                  <c:v>1489.8253422224104</c:v>
                </c:pt>
                <c:pt idx="5">
                  <c:v>1492.7252096314514</c:v>
                </c:pt>
                <c:pt idx="6">
                  <c:v>1505.2471564877146</c:v>
                </c:pt>
                <c:pt idx="7">
                  <c:v>1543.7748543751879</c:v>
                </c:pt>
                <c:pt idx="8">
                  <c:v>1500.0748413245867</c:v>
                </c:pt>
                <c:pt idx="9">
                  <c:v>1498.2132829650484</c:v>
                </c:pt>
                <c:pt idx="10">
                  <c:v>1477.0952671229361</c:v>
                </c:pt>
                <c:pt idx="11">
                  <c:v>1514.262218537749</c:v>
                </c:pt>
                <c:pt idx="12">
                  <c:v>1526.4949449758667</c:v>
                </c:pt>
                <c:pt idx="13">
                  <c:v>1515.7375416268815</c:v>
                </c:pt>
                <c:pt idx="14">
                  <c:v>1574.7330968798267</c:v>
                </c:pt>
                <c:pt idx="15">
                  <c:v>1576.3230597104384</c:v>
                </c:pt>
                <c:pt idx="16">
                  <c:v>1581.4779735286602</c:v>
                </c:pt>
                <c:pt idx="17">
                  <c:v>1529.2748249821975</c:v>
                </c:pt>
                <c:pt idx="18">
                  <c:v>1547.6620444110006</c:v>
                </c:pt>
                <c:pt idx="19">
                  <c:v>1591.4327189067321</c:v>
                </c:pt>
                <c:pt idx="20">
                  <c:v>1566.5118391364924</c:v>
                </c:pt>
                <c:pt idx="21">
                  <c:v>1539.0849069725512</c:v>
                </c:pt>
                <c:pt idx="22">
                  <c:v>1578.8326384422196</c:v>
                </c:pt>
                <c:pt idx="23">
                  <c:v>1572.2627017341183</c:v>
                </c:pt>
                <c:pt idx="24">
                  <c:v>1587.0241120263026</c:v>
                </c:pt>
                <c:pt idx="25">
                  <c:v>1518.7118404716848</c:v>
                </c:pt>
                <c:pt idx="26">
                  <c:v>1542.3587056442327</c:v>
                </c:pt>
                <c:pt idx="27">
                  <c:v>1551.5093363416483</c:v>
                </c:pt>
                <c:pt idx="28">
                  <c:v>1589.0061595034854</c:v>
                </c:pt>
                <c:pt idx="29">
                  <c:v>1534.6688411762195</c:v>
                </c:pt>
                <c:pt idx="30">
                  <c:v>1575.8818394852419</c:v>
                </c:pt>
                <c:pt idx="31">
                  <c:v>1564.4998535948471</c:v>
                </c:pt>
                <c:pt idx="32">
                  <c:v>1552.2049946356565</c:v>
                </c:pt>
                <c:pt idx="33">
                  <c:v>1554.2547049427103</c:v>
                </c:pt>
                <c:pt idx="34">
                  <c:v>1577.1952842216263</c:v>
                </c:pt>
                <c:pt idx="35">
                  <c:v>1551.2590720791484</c:v>
                </c:pt>
                <c:pt idx="36">
                  <c:v>1551.3184249380113</c:v>
                </c:pt>
                <c:pt idx="37">
                  <c:v>1577.954170345085</c:v>
                </c:pt>
                <c:pt idx="38">
                  <c:v>1510.3400085542821</c:v>
                </c:pt>
                <c:pt idx="39">
                  <c:v>1524.0245302805631</c:v>
                </c:pt>
                <c:pt idx="40">
                  <c:v>1507.8747255168623</c:v>
                </c:pt>
                <c:pt idx="41">
                  <c:v>1566.2453759827981</c:v>
                </c:pt>
                <c:pt idx="42">
                  <c:v>1602.203437758659</c:v>
                </c:pt>
                <c:pt idx="43">
                  <c:v>1574.8128222600762</c:v>
                </c:pt>
                <c:pt idx="44">
                  <c:v>1541.3265708873582</c:v>
                </c:pt>
                <c:pt idx="45">
                  <c:v>1565.2935081791275</c:v>
                </c:pt>
                <c:pt idx="46">
                  <c:v>1559.6908321885983</c:v>
                </c:pt>
                <c:pt idx="47">
                  <c:v>1577.3725192084175</c:v>
                </c:pt>
                <c:pt idx="48">
                  <c:v>1567.1409412571552</c:v>
                </c:pt>
                <c:pt idx="49">
                  <c:v>1540.5748203349503</c:v>
                </c:pt>
                <c:pt idx="50">
                  <c:v>1555.4366068882457</c:v>
                </c:pt>
                <c:pt idx="51">
                  <c:v>1563.5399725898619</c:v>
                </c:pt>
                <c:pt idx="52">
                  <c:v>1540.8223751066607</c:v>
                </c:pt>
                <c:pt idx="53">
                  <c:v>1561.8995302333935</c:v>
                </c:pt>
                <c:pt idx="54">
                  <c:v>1557.1063165560308</c:v>
                </c:pt>
                <c:pt idx="55">
                  <c:v>1571.6845026023493</c:v>
                </c:pt>
                <c:pt idx="56">
                  <c:v>1540.3776677147907</c:v>
                </c:pt>
                <c:pt idx="57">
                  <c:v>1561.0597687646655</c:v>
                </c:pt>
                <c:pt idx="58">
                  <c:v>1593.2738931704623</c:v>
                </c:pt>
                <c:pt idx="59">
                  <c:v>1572.2980573732386</c:v>
                </c:pt>
                <c:pt idx="60">
                  <c:v>1592.4679528020747</c:v>
                </c:pt>
                <c:pt idx="61">
                  <c:v>1580.0759170860558</c:v>
                </c:pt>
                <c:pt idx="62">
                  <c:v>1590.5727198934997</c:v>
                </c:pt>
                <c:pt idx="63">
                  <c:v>1579.0482977234874</c:v>
                </c:pt>
                <c:pt idx="64">
                  <c:v>1587.5935361216439</c:v>
                </c:pt>
                <c:pt idx="65">
                  <c:v>1596.2685910417877</c:v>
                </c:pt>
                <c:pt idx="66">
                  <c:v>1611.5048362861232</c:v>
                </c:pt>
                <c:pt idx="67">
                  <c:v>1602.3670816913636</c:v>
                </c:pt>
                <c:pt idx="68">
                  <c:v>1604.6711939519287</c:v>
                </c:pt>
                <c:pt idx="69">
                  <c:v>1600.1629532987181</c:v>
                </c:pt>
                <c:pt idx="70">
                  <c:v>1622.2048591237856</c:v>
                </c:pt>
                <c:pt idx="71">
                  <c:v>1620.6375717550391</c:v>
                </c:pt>
                <c:pt idx="72">
                  <c:v>1599.5075395999229</c:v>
                </c:pt>
                <c:pt idx="73">
                  <c:v>1652.3759139577915</c:v>
                </c:pt>
                <c:pt idx="74">
                  <c:v>1638.6211616445378</c:v>
                </c:pt>
                <c:pt idx="75">
                  <c:v>1640.3065263186309</c:v>
                </c:pt>
                <c:pt idx="76">
                  <c:v>1625.2857251368939</c:v>
                </c:pt>
                <c:pt idx="77">
                  <c:v>1628.3639884398417</c:v>
                </c:pt>
                <c:pt idx="78">
                  <c:v>1666.2217966441253</c:v>
                </c:pt>
                <c:pt idx="79">
                  <c:v>1601.6749730732358</c:v>
                </c:pt>
                <c:pt idx="80">
                  <c:v>1607.3675367054675</c:v>
                </c:pt>
                <c:pt idx="81">
                  <c:v>1658.0171436579396</c:v>
                </c:pt>
                <c:pt idx="82">
                  <c:v>1607.7111736441534</c:v>
                </c:pt>
                <c:pt idx="83">
                  <c:v>1606.8116321572218</c:v>
                </c:pt>
                <c:pt idx="84">
                  <c:v>1588.7779537458246</c:v>
                </c:pt>
                <c:pt idx="85">
                  <c:v>1614.7077252632669</c:v>
                </c:pt>
                <c:pt idx="86">
                  <c:v>1610.7556798779008</c:v>
                </c:pt>
                <c:pt idx="87">
                  <c:v>1608.027257160154</c:v>
                </c:pt>
                <c:pt idx="88">
                  <c:v>1584.6966295642173</c:v>
                </c:pt>
                <c:pt idx="89">
                  <c:v>1588.1952866571883</c:v>
                </c:pt>
                <c:pt idx="90">
                  <c:v>1589.0592276565076</c:v>
                </c:pt>
                <c:pt idx="91">
                  <c:v>1628.4838128899376</c:v>
                </c:pt>
                <c:pt idx="92">
                  <c:v>1627.9372761871884</c:v>
                </c:pt>
                <c:pt idx="93">
                  <c:v>1616.3474136747511</c:v>
                </c:pt>
                <c:pt idx="94">
                  <c:v>1587.1857464305585</c:v>
                </c:pt>
                <c:pt idx="95">
                  <c:v>1595.1817201094814</c:v>
                </c:pt>
                <c:pt idx="96">
                  <c:v>1614.9978547939204</c:v>
                </c:pt>
                <c:pt idx="97">
                  <c:v>1588.4029900174198</c:v>
                </c:pt>
                <c:pt idx="98">
                  <c:v>1609.4385439850469</c:v>
                </c:pt>
                <c:pt idx="99">
                  <c:v>1608.8532708002651</c:v>
                </c:pt>
                <c:pt idx="100">
                  <c:v>1578.4164750517375</c:v>
                </c:pt>
                <c:pt idx="101">
                  <c:v>1571.1773844610716</c:v>
                </c:pt>
                <c:pt idx="102">
                  <c:v>1614.026310631675</c:v>
                </c:pt>
                <c:pt idx="103">
                  <c:v>1617.6863205985567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F2-4CCD-B104-31D8F02F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853775"/>
        <c:axId val="1142863855"/>
      </c:lineChart>
      <c:lineChart>
        <c:grouping val="standard"/>
        <c:varyColors val="0"/>
        <c:ser>
          <c:idx val="0"/>
          <c:order val="0"/>
          <c:tx>
            <c:strRef>
              <c:f>Monsoon_vs_Sales_units!$B$1</c:f>
              <c:strCache>
                <c:ptCount val="1"/>
                <c:pt idx="0">
                  <c:v>monsoon_dummy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Monsoon_vs_Sales_units!$A$2:$A$105</c:f>
              <c:numCache>
                <c:formatCode>m/d/yyyy</c:formatCode>
                <c:ptCount val="104"/>
                <c:pt idx="0">
                  <c:v>45293</c:v>
                </c:pt>
                <c:pt idx="1">
                  <c:v>45300</c:v>
                </c:pt>
                <c:pt idx="2">
                  <c:v>45307</c:v>
                </c:pt>
                <c:pt idx="3">
                  <c:v>45314</c:v>
                </c:pt>
                <c:pt idx="4">
                  <c:v>45321</c:v>
                </c:pt>
                <c:pt idx="5">
                  <c:v>45328</c:v>
                </c:pt>
                <c:pt idx="6">
                  <c:v>45335</c:v>
                </c:pt>
                <c:pt idx="7">
                  <c:v>45342</c:v>
                </c:pt>
                <c:pt idx="8">
                  <c:v>45349</c:v>
                </c:pt>
                <c:pt idx="9">
                  <c:v>45356</c:v>
                </c:pt>
                <c:pt idx="10">
                  <c:v>45363</c:v>
                </c:pt>
                <c:pt idx="11">
                  <c:v>45370</c:v>
                </c:pt>
                <c:pt idx="12">
                  <c:v>45377</c:v>
                </c:pt>
                <c:pt idx="13">
                  <c:v>45384</c:v>
                </c:pt>
                <c:pt idx="14">
                  <c:v>45391</c:v>
                </c:pt>
                <c:pt idx="15">
                  <c:v>45398</c:v>
                </c:pt>
                <c:pt idx="16">
                  <c:v>45405</c:v>
                </c:pt>
                <c:pt idx="17">
                  <c:v>45412</c:v>
                </c:pt>
                <c:pt idx="18">
                  <c:v>45419</c:v>
                </c:pt>
                <c:pt idx="19">
                  <c:v>45426</c:v>
                </c:pt>
                <c:pt idx="20">
                  <c:v>45433</c:v>
                </c:pt>
                <c:pt idx="21">
                  <c:v>45440</c:v>
                </c:pt>
                <c:pt idx="22">
                  <c:v>45447</c:v>
                </c:pt>
                <c:pt idx="23">
                  <c:v>45454</c:v>
                </c:pt>
                <c:pt idx="24">
                  <c:v>45461</c:v>
                </c:pt>
                <c:pt idx="25">
                  <c:v>45468</c:v>
                </c:pt>
                <c:pt idx="26">
                  <c:v>45475</c:v>
                </c:pt>
                <c:pt idx="27">
                  <c:v>45482</c:v>
                </c:pt>
                <c:pt idx="28">
                  <c:v>45489</c:v>
                </c:pt>
                <c:pt idx="29">
                  <c:v>45496</c:v>
                </c:pt>
                <c:pt idx="30">
                  <c:v>45503</c:v>
                </c:pt>
                <c:pt idx="31">
                  <c:v>45510</c:v>
                </c:pt>
                <c:pt idx="32">
                  <c:v>45517</c:v>
                </c:pt>
                <c:pt idx="33">
                  <c:v>45524</c:v>
                </c:pt>
                <c:pt idx="34">
                  <c:v>45531</c:v>
                </c:pt>
                <c:pt idx="35">
                  <c:v>45538</c:v>
                </c:pt>
                <c:pt idx="36">
                  <c:v>45545</c:v>
                </c:pt>
                <c:pt idx="37">
                  <c:v>45552</c:v>
                </c:pt>
                <c:pt idx="38">
                  <c:v>45559</c:v>
                </c:pt>
                <c:pt idx="39">
                  <c:v>45566</c:v>
                </c:pt>
                <c:pt idx="40">
                  <c:v>45573</c:v>
                </c:pt>
                <c:pt idx="41">
                  <c:v>45580</c:v>
                </c:pt>
                <c:pt idx="42">
                  <c:v>45587</c:v>
                </c:pt>
                <c:pt idx="43">
                  <c:v>45594</c:v>
                </c:pt>
                <c:pt idx="44">
                  <c:v>45601</c:v>
                </c:pt>
                <c:pt idx="45">
                  <c:v>45608</c:v>
                </c:pt>
                <c:pt idx="46">
                  <c:v>45615</c:v>
                </c:pt>
                <c:pt idx="47">
                  <c:v>45622</c:v>
                </c:pt>
                <c:pt idx="48">
                  <c:v>45629</c:v>
                </c:pt>
                <c:pt idx="49">
                  <c:v>45636</c:v>
                </c:pt>
                <c:pt idx="50">
                  <c:v>45643</c:v>
                </c:pt>
                <c:pt idx="51">
                  <c:v>45650</c:v>
                </c:pt>
                <c:pt idx="52">
                  <c:v>45657</c:v>
                </c:pt>
                <c:pt idx="53">
                  <c:v>45664</c:v>
                </c:pt>
                <c:pt idx="54">
                  <c:v>45671</c:v>
                </c:pt>
                <c:pt idx="55">
                  <c:v>45678</c:v>
                </c:pt>
                <c:pt idx="56">
                  <c:v>45685</c:v>
                </c:pt>
                <c:pt idx="57">
                  <c:v>45692</c:v>
                </c:pt>
                <c:pt idx="58">
                  <c:v>45699</c:v>
                </c:pt>
                <c:pt idx="59">
                  <c:v>45706</c:v>
                </c:pt>
                <c:pt idx="60">
                  <c:v>45713</c:v>
                </c:pt>
                <c:pt idx="61">
                  <c:v>45720</c:v>
                </c:pt>
                <c:pt idx="62">
                  <c:v>45727</c:v>
                </c:pt>
                <c:pt idx="63">
                  <c:v>45734</c:v>
                </c:pt>
                <c:pt idx="64">
                  <c:v>45741</c:v>
                </c:pt>
                <c:pt idx="65">
                  <c:v>45748</c:v>
                </c:pt>
                <c:pt idx="66">
                  <c:v>45755</c:v>
                </c:pt>
                <c:pt idx="67">
                  <c:v>45762</c:v>
                </c:pt>
                <c:pt idx="68">
                  <c:v>45769</c:v>
                </c:pt>
                <c:pt idx="69">
                  <c:v>45776</c:v>
                </c:pt>
                <c:pt idx="70">
                  <c:v>45783</c:v>
                </c:pt>
                <c:pt idx="71">
                  <c:v>45790</c:v>
                </c:pt>
                <c:pt idx="72">
                  <c:v>45797</c:v>
                </c:pt>
                <c:pt idx="73">
                  <c:v>45804</c:v>
                </c:pt>
                <c:pt idx="74">
                  <c:v>45811</c:v>
                </c:pt>
                <c:pt idx="75">
                  <c:v>45818</c:v>
                </c:pt>
                <c:pt idx="76">
                  <c:v>45825</c:v>
                </c:pt>
                <c:pt idx="77">
                  <c:v>45832</c:v>
                </c:pt>
                <c:pt idx="78">
                  <c:v>45839</c:v>
                </c:pt>
                <c:pt idx="79">
                  <c:v>45846</c:v>
                </c:pt>
                <c:pt idx="80">
                  <c:v>45853</c:v>
                </c:pt>
                <c:pt idx="81">
                  <c:v>45860</c:v>
                </c:pt>
                <c:pt idx="82">
                  <c:v>45867</c:v>
                </c:pt>
                <c:pt idx="83">
                  <c:v>45874</c:v>
                </c:pt>
                <c:pt idx="84">
                  <c:v>45881</c:v>
                </c:pt>
                <c:pt idx="85">
                  <c:v>45888</c:v>
                </c:pt>
                <c:pt idx="86">
                  <c:v>45895</c:v>
                </c:pt>
                <c:pt idx="87">
                  <c:v>45902</c:v>
                </c:pt>
                <c:pt idx="88">
                  <c:v>45909</c:v>
                </c:pt>
                <c:pt idx="89">
                  <c:v>45916</c:v>
                </c:pt>
                <c:pt idx="90">
                  <c:v>45923</c:v>
                </c:pt>
                <c:pt idx="91">
                  <c:v>45930</c:v>
                </c:pt>
                <c:pt idx="92">
                  <c:v>45937</c:v>
                </c:pt>
                <c:pt idx="93">
                  <c:v>45944</c:v>
                </c:pt>
                <c:pt idx="94">
                  <c:v>45951</c:v>
                </c:pt>
                <c:pt idx="95">
                  <c:v>45958</c:v>
                </c:pt>
                <c:pt idx="96">
                  <c:v>45965</c:v>
                </c:pt>
                <c:pt idx="97">
                  <c:v>45972</c:v>
                </c:pt>
                <c:pt idx="98">
                  <c:v>45979</c:v>
                </c:pt>
                <c:pt idx="99">
                  <c:v>45986</c:v>
                </c:pt>
                <c:pt idx="100">
                  <c:v>45993</c:v>
                </c:pt>
                <c:pt idx="101">
                  <c:v>46000</c:v>
                </c:pt>
                <c:pt idx="102">
                  <c:v>46007</c:v>
                </c:pt>
                <c:pt idx="103">
                  <c:v>46014</c:v>
                </c:pt>
              </c:numCache>
            </c:numRef>
          </c:cat>
          <c:val>
            <c:numRef>
              <c:f>Monsoon_vs_Sales_units!$B$2:$B$105</c:f>
              <c:numCache>
                <c:formatCode>General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2-4CCD-B104-31D8F02F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849424"/>
        <c:axId val="1874838384"/>
      </c:lineChart>
      <c:dateAx>
        <c:axId val="1142853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63855"/>
        <c:crosses val="autoZero"/>
        <c:auto val="1"/>
        <c:lblOffset val="100"/>
        <c:baseTimeUnit val="days"/>
      </c:dateAx>
      <c:valAx>
        <c:axId val="11428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53775"/>
        <c:crosses val="autoZero"/>
        <c:crossBetween val="between"/>
      </c:valAx>
      <c:valAx>
        <c:axId val="1874838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849424"/>
        <c:crosses val="max"/>
        <c:crossBetween val="between"/>
      </c:valAx>
      <c:dateAx>
        <c:axId val="18748494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748383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371476</xdr:colOff>
      <xdr:row>1</xdr:row>
      <xdr:rowOff>71437</xdr:rowOff>
    </xdr:from>
    <xdr:to>
      <xdr:col>23</xdr:col>
      <xdr:colOff>314326</xdr:colOff>
      <xdr:row>28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F95446-A477-5EC4-8637-3C4BEDC2B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266700</xdr:colOff>
      <xdr:row>1</xdr:row>
      <xdr:rowOff>4762</xdr:rowOff>
    </xdr:from>
    <xdr:to>
      <xdr:col>31</xdr:col>
      <xdr:colOff>571500</xdr:colOff>
      <xdr:row>15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3F94FA-9F3C-4233-D231-E412977CF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257175</xdr:colOff>
      <xdr:row>16</xdr:row>
      <xdr:rowOff>14287</xdr:rowOff>
    </xdr:from>
    <xdr:to>
      <xdr:col>31</xdr:col>
      <xdr:colOff>561975</xdr:colOff>
      <xdr:row>30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7F7066-4E0C-F6AA-7E63-88C98E1A1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257175</xdr:colOff>
      <xdr:row>31</xdr:row>
      <xdr:rowOff>14287</xdr:rowOff>
    </xdr:from>
    <xdr:to>
      <xdr:col>31</xdr:col>
      <xdr:colOff>561975</xdr:colOff>
      <xdr:row>45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4C0867-6940-B0D5-0CF7-2AF6FA86B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0</xdr:row>
      <xdr:rowOff>52386</xdr:rowOff>
    </xdr:from>
    <xdr:to>
      <xdr:col>23</xdr:col>
      <xdr:colOff>600075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794C4-BCA3-A429-3471-47D8C0AAF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8F78-7E67-4E5E-931A-22745C77C3B0}">
  <dimension ref="A1:DO107"/>
  <sheetViews>
    <sheetView tabSelected="1" workbookViewId="0">
      <pane ySplit="3" topLeftCell="A4" activePane="bottomLeft" state="frozen"/>
      <selection pane="bottomLeft" activeCell="BC4" sqref="BC4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4" width="12" bestFit="1" customWidth="1"/>
    <col min="5" max="6" width="12.6640625" bestFit="1" customWidth="1"/>
    <col min="7" max="20" width="12" bestFit="1" customWidth="1"/>
    <col min="21" max="21" width="8.5546875" bestFit="1" customWidth="1"/>
    <col min="23" max="23" width="8.44140625" bestFit="1" customWidth="1"/>
    <col min="24" max="38" width="12" bestFit="1" customWidth="1"/>
    <col min="39" max="39" width="11" bestFit="1" customWidth="1"/>
    <col min="40" max="49" width="12" bestFit="1" customWidth="1"/>
    <col min="51" max="51" width="16.77734375" bestFit="1" customWidth="1"/>
    <col min="52" max="52" width="11" bestFit="1" customWidth="1"/>
    <col min="53" max="53" width="12" bestFit="1" customWidth="1"/>
    <col min="55" max="63" width="12" bestFit="1" customWidth="1"/>
    <col min="64" max="64" width="12.6640625" bestFit="1" customWidth="1"/>
    <col min="65" max="66" width="12" bestFit="1" customWidth="1"/>
    <col min="67" max="68" width="12.6640625" bestFit="1" customWidth="1"/>
    <col min="69" max="69" width="10.6640625" bestFit="1" customWidth="1"/>
    <col min="70" max="71" width="12" bestFit="1" customWidth="1"/>
    <col min="72" max="72" width="12.6640625" bestFit="1" customWidth="1"/>
    <col min="73" max="73" width="10" bestFit="1" customWidth="1"/>
    <col min="74" max="74" width="11.6640625" bestFit="1" customWidth="1"/>
    <col min="75" max="76" width="12" bestFit="1" customWidth="1"/>
    <col min="77" max="77" width="7.77734375" bestFit="1" customWidth="1"/>
    <col min="78" max="78" width="12" bestFit="1" customWidth="1"/>
    <col min="80" max="80" width="16.77734375" bestFit="1" customWidth="1"/>
    <col min="81" max="81" width="11.6640625" bestFit="1" customWidth="1"/>
    <col min="82" max="82" width="12" bestFit="1" customWidth="1"/>
    <col min="84" max="84" width="12.33203125" bestFit="1" customWidth="1"/>
    <col min="85" max="96" width="12" bestFit="1" customWidth="1"/>
    <col min="97" max="98" width="12.6640625" bestFit="1" customWidth="1"/>
    <col min="99" max="99" width="10" bestFit="1" customWidth="1"/>
    <col min="100" max="100" width="12" bestFit="1" customWidth="1"/>
    <col min="101" max="102" width="12.6640625" bestFit="1" customWidth="1"/>
    <col min="103" max="103" width="9" bestFit="1" customWidth="1"/>
    <col min="104" max="104" width="10" bestFit="1" customWidth="1"/>
    <col min="105" max="105" width="16" bestFit="1" customWidth="1"/>
    <col min="106" max="113" width="12" bestFit="1" customWidth="1"/>
    <col min="115" max="115" width="12.44140625" bestFit="1" customWidth="1"/>
    <col min="116" max="118" width="12" bestFit="1" customWidth="1"/>
  </cols>
  <sheetData>
    <row r="1" spans="1:119" x14ac:dyDescent="0.3">
      <c r="CF1" t="s">
        <v>67</v>
      </c>
      <c r="CG1">
        <f>SUM(CG4:CG107)</f>
        <v>25329.498070943253</v>
      </c>
      <c r="CH1">
        <f t="shared" ref="CH1:CN1" si="0">SUM(CH4:CH107)</f>
        <v>17480.517328473878</v>
      </c>
      <c r="CI1">
        <f t="shared" si="0"/>
        <v>12927.426421111897</v>
      </c>
      <c r="CJ1">
        <f t="shared" si="0"/>
        <v>14790.578289620615</v>
      </c>
      <c r="CK1">
        <f t="shared" si="0"/>
        <v>6962.7752745373964</v>
      </c>
      <c r="CL1">
        <f t="shared" si="0"/>
        <v>8803.7706258706239</v>
      </c>
      <c r="CM1">
        <f t="shared" si="0"/>
        <v>11488.3632635628</v>
      </c>
      <c r="CN1">
        <f t="shared" si="0"/>
        <v>6823.6235717715681</v>
      </c>
      <c r="DA1" t="s">
        <v>68</v>
      </c>
      <c r="DB1">
        <f t="shared" ref="DB1:DI1" si="1">SUM(M4:M107)*100000</f>
        <v>62409048.251766615</v>
      </c>
      <c r="DC1">
        <f t="shared" si="1"/>
        <v>37012010.765733972</v>
      </c>
      <c r="DD1">
        <f t="shared" si="1"/>
        <v>28312761.838616047</v>
      </c>
      <c r="DE1">
        <f t="shared" si="1"/>
        <v>26740709.275069118</v>
      </c>
      <c r="DF1">
        <f t="shared" si="1"/>
        <v>17025742.399484888</v>
      </c>
      <c r="DG1">
        <f t="shared" si="1"/>
        <v>13855632.404816749</v>
      </c>
      <c r="DH1">
        <f t="shared" si="1"/>
        <v>22009421.819875352</v>
      </c>
      <c r="DI1">
        <f t="shared" si="1"/>
        <v>16462472.484124862</v>
      </c>
    </row>
    <row r="2" spans="1:119" x14ac:dyDescent="0.3">
      <c r="Y2" t="s">
        <v>75</v>
      </c>
      <c r="Z2">
        <v>0.6</v>
      </c>
      <c r="AA2">
        <v>0.5</v>
      </c>
      <c r="AB2">
        <v>0.45</v>
      </c>
      <c r="AC2">
        <v>0.3</v>
      </c>
      <c r="AD2">
        <v>0.35</v>
      </c>
      <c r="AE2">
        <v>0.5</v>
      </c>
      <c r="AF2">
        <v>0.7</v>
      </c>
      <c r="AG2">
        <v>0.55000000000000004</v>
      </c>
      <c r="AO2" t="s">
        <v>76</v>
      </c>
      <c r="AP2">
        <v>1.6</v>
      </c>
      <c r="AQ2">
        <v>1.4</v>
      </c>
      <c r="AR2">
        <v>1.35</v>
      </c>
      <c r="AS2">
        <v>1.25</v>
      </c>
      <c r="AT2">
        <v>1.25</v>
      </c>
      <c r="AU2">
        <v>1.5</v>
      </c>
      <c r="AV2">
        <v>1.5</v>
      </c>
      <c r="AW2">
        <v>1.35</v>
      </c>
      <c r="BC2" s="7" t="s">
        <v>59</v>
      </c>
      <c r="BD2" s="7"/>
      <c r="BE2" s="7"/>
      <c r="BF2" s="7"/>
      <c r="BG2" s="7"/>
      <c r="BH2" s="7"/>
      <c r="BI2" s="7"/>
      <c r="BJ2" s="7"/>
      <c r="BK2" s="7" t="s">
        <v>25</v>
      </c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Z2" t="s">
        <v>63</v>
      </c>
      <c r="CD2" t="s">
        <v>63</v>
      </c>
      <c r="CG2" s="7" t="s">
        <v>59</v>
      </c>
      <c r="CH2" s="7"/>
      <c r="CI2" s="7"/>
      <c r="CJ2" s="7"/>
      <c r="CK2" s="7"/>
      <c r="CL2" s="7"/>
      <c r="CM2" s="7"/>
      <c r="CN2" s="7"/>
      <c r="CO2" s="7" t="s">
        <v>25</v>
      </c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t="s">
        <v>66</v>
      </c>
      <c r="DB2">
        <f>SUM(DB4:DB107)</f>
        <v>228627051.38210964</v>
      </c>
      <c r="DC2">
        <f t="shared" ref="DC2:DI2" si="2">SUM(DC4:DC107)</f>
        <v>157677938.80714723</v>
      </c>
      <c r="DD2">
        <f t="shared" si="2"/>
        <v>116643993.83349034</v>
      </c>
      <c r="DE2">
        <f t="shared" si="2"/>
        <v>133464191.3195765</v>
      </c>
      <c r="DF2">
        <f t="shared" si="2"/>
        <v>62809696.777270302</v>
      </c>
      <c r="DG2">
        <f t="shared" si="2"/>
        <v>79510089.054874733</v>
      </c>
      <c r="DH2">
        <f t="shared" si="2"/>
        <v>103662119.36826864</v>
      </c>
      <c r="DI2">
        <f t="shared" si="2"/>
        <v>61618527.520064034</v>
      </c>
    </row>
    <row r="3" spans="1:119" s="3" customFormat="1" ht="43.2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3" t="s">
        <v>24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42</v>
      </c>
      <c r="AI3" s="3" t="s">
        <v>43</v>
      </c>
      <c r="AJ3" s="3" t="s">
        <v>44</v>
      </c>
      <c r="AK3" s="3" t="s">
        <v>45</v>
      </c>
      <c r="AL3" s="3" t="s">
        <v>46</v>
      </c>
      <c r="AM3" s="3" t="s">
        <v>47</v>
      </c>
      <c r="AN3" s="3" t="s">
        <v>48</v>
      </c>
      <c r="AO3" s="3" t="s">
        <v>49</v>
      </c>
      <c r="AP3" s="4" t="s">
        <v>34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39</v>
      </c>
      <c r="AV3" s="4" t="s">
        <v>40</v>
      </c>
      <c r="AW3" s="4" t="s">
        <v>41</v>
      </c>
      <c r="AZ3" s="3" t="s">
        <v>64</v>
      </c>
      <c r="BA3" s="3" t="s">
        <v>58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6</v>
      </c>
      <c r="BL3" s="3" t="s">
        <v>7</v>
      </c>
      <c r="BM3" s="3" t="s">
        <v>8</v>
      </c>
      <c r="BN3" s="3" t="s">
        <v>9</v>
      </c>
      <c r="BO3" s="3" t="s">
        <v>4</v>
      </c>
      <c r="BP3" s="3" t="s">
        <v>5</v>
      </c>
      <c r="BQ3" s="3" t="s">
        <v>2</v>
      </c>
      <c r="BR3" s="3" t="s">
        <v>3</v>
      </c>
      <c r="BS3" s="3" t="s">
        <v>10</v>
      </c>
      <c r="BT3" s="3" t="s">
        <v>11</v>
      </c>
      <c r="BU3" s="3" t="s">
        <v>21</v>
      </c>
      <c r="BV3" s="3" t="s">
        <v>20</v>
      </c>
      <c r="BW3" s="4" t="s">
        <v>60</v>
      </c>
      <c r="BX3" s="4" t="s">
        <v>61</v>
      </c>
      <c r="BY3" s="4" t="s">
        <v>62</v>
      </c>
      <c r="BZ3" s="4" t="s">
        <v>74</v>
      </c>
      <c r="CC3" s="3" t="s">
        <v>65</v>
      </c>
      <c r="CD3" s="4" t="s">
        <v>73</v>
      </c>
      <c r="CG3" s="3" t="s">
        <v>50</v>
      </c>
      <c r="CH3" s="3" t="s">
        <v>51</v>
      </c>
      <c r="CI3" s="3" t="s">
        <v>52</v>
      </c>
      <c r="CJ3" s="3" t="s">
        <v>53</v>
      </c>
      <c r="CK3" s="3" t="s">
        <v>54</v>
      </c>
      <c r="CL3" s="3" t="s">
        <v>55</v>
      </c>
      <c r="CM3" s="3" t="s">
        <v>56</v>
      </c>
      <c r="CN3" s="3" t="s">
        <v>57</v>
      </c>
      <c r="CO3" s="3" t="s">
        <v>6</v>
      </c>
      <c r="CP3" s="3" t="s">
        <v>7</v>
      </c>
      <c r="CQ3" s="3" t="s">
        <v>8</v>
      </c>
      <c r="CR3" s="3" t="s">
        <v>9</v>
      </c>
      <c r="CS3" s="3" t="s">
        <v>4</v>
      </c>
      <c r="CT3" s="3" t="s">
        <v>5</v>
      </c>
      <c r="CU3" s="3" t="s">
        <v>2</v>
      </c>
      <c r="CV3" s="3" t="s">
        <v>3</v>
      </c>
      <c r="CW3" s="3" t="s">
        <v>10</v>
      </c>
      <c r="CX3" s="3" t="s">
        <v>11</v>
      </c>
      <c r="CY3" s="3" t="s">
        <v>21</v>
      </c>
      <c r="CZ3" s="3" t="s">
        <v>20</v>
      </c>
      <c r="DA3" s="3" t="s">
        <v>23</v>
      </c>
      <c r="DB3" s="3" t="s">
        <v>50</v>
      </c>
      <c r="DC3" s="3" t="s">
        <v>51</v>
      </c>
      <c r="DD3" s="3" t="s">
        <v>52</v>
      </c>
      <c r="DE3" s="3" t="s">
        <v>53</v>
      </c>
      <c r="DF3" s="3" t="s">
        <v>54</v>
      </c>
      <c r="DG3" s="3" t="s">
        <v>55</v>
      </c>
      <c r="DH3" s="3" t="s">
        <v>56</v>
      </c>
      <c r="DI3" s="3" t="s">
        <v>57</v>
      </c>
      <c r="DL3" s="3" t="s">
        <v>69</v>
      </c>
      <c r="DM3" s="3" t="s">
        <v>70</v>
      </c>
      <c r="DN3" s="3" t="s">
        <v>71</v>
      </c>
      <c r="DO3" s="4" t="s">
        <v>72</v>
      </c>
    </row>
    <row r="4" spans="1:119" x14ac:dyDescent="0.3">
      <c r="A4" s="1">
        <v>45293</v>
      </c>
      <c r="B4">
        <v>1</v>
      </c>
      <c r="C4">
        <v>0</v>
      </c>
      <c r="D4">
        <v>0</v>
      </c>
      <c r="E4">
        <v>0.12053668025532301</v>
      </c>
      <c r="F4">
        <v>0.99270887409805397</v>
      </c>
      <c r="G4">
        <v>1.0009141512392601</v>
      </c>
      <c r="H4">
        <v>0.99719914695997003</v>
      </c>
      <c r="I4">
        <v>0.77121847633071205</v>
      </c>
      <c r="J4">
        <v>7.2379361487337701E-2</v>
      </c>
      <c r="K4">
        <v>21.771107436723099</v>
      </c>
      <c r="L4">
        <v>0.999185243753415</v>
      </c>
      <c r="M4">
        <v>0.631819142579926</v>
      </c>
      <c r="N4">
        <v>2.8271417955142399</v>
      </c>
      <c r="O4">
        <v>2.1381390955646999</v>
      </c>
      <c r="P4">
        <v>1.4726502490334801</v>
      </c>
      <c r="Q4">
        <v>0.54386000576171001</v>
      </c>
      <c r="R4">
        <v>0.19937542783613399</v>
      </c>
      <c r="S4">
        <v>0.90605833116809598</v>
      </c>
      <c r="T4">
        <v>0.83122219451470003</v>
      </c>
      <c r="U4">
        <v>12</v>
      </c>
      <c r="V4">
        <v>122</v>
      </c>
      <c r="W4">
        <v>1220</v>
      </c>
      <c r="X4">
        <v>9008.2273611533692</v>
      </c>
      <c r="Y4">
        <f>X4*W4</f>
        <v>10990037.38060711</v>
      </c>
      <c r="Z4">
        <f>M4+(Z$2*0)</f>
        <v>0.631819142579926</v>
      </c>
      <c r="AA4">
        <f t="shared" ref="AA4:AG4" si="3">N4+(AA$2*0)</f>
        <v>2.8271417955142399</v>
      </c>
      <c r="AB4">
        <f t="shared" si="3"/>
        <v>2.1381390955646999</v>
      </c>
      <c r="AC4">
        <f t="shared" si="3"/>
        <v>1.4726502490334801</v>
      </c>
      <c r="AD4">
        <f t="shared" si="3"/>
        <v>0.54386000576171001</v>
      </c>
      <c r="AE4">
        <f t="shared" si="3"/>
        <v>0.19937542783613399</v>
      </c>
      <c r="AF4">
        <f t="shared" si="3"/>
        <v>0.90605833116809598</v>
      </c>
      <c r="AG4">
        <f t="shared" si="3"/>
        <v>0.83122219451470003</v>
      </c>
      <c r="AH4">
        <f t="shared" ref="AH4:AH35" si="4">PERCENTILE(Z$4:Z$107, 0.6)</f>
        <v>14.752361412031716</v>
      </c>
      <c r="AI4">
        <f t="shared" ref="AI4:AO19" si="5">PERCENTILE(AA$4:AA$107, 0.6)</f>
        <v>6.9687240579263854</v>
      </c>
      <c r="AJ4">
        <f t="shared" si="5"/>
        <v>4.6296050148216619</v>
      </c>
      <c r="AK4">
        <f t="shared" si="5"/>
        <v>3.6948385064954095</v>
      </c>
      <c r="AL4">
        <f t="shared" si="5"/>
        <v>2.5944664113759068</v>
      </c>
      <c r="AM4">
        <f t="shared" si="5"/>
        <v>2.3895751703221002</v>
      </c>
      <c r="AN4">
        <f t="shared" si="5"/>
        <v>6.5870344778956778</v>
      </c>
      <c r="AO4">
        <f t="shared" si="5"/>
        <v>3.6424813908642166</v>
      </c>
      <c r="AP4">
        <f>(POWER(Z4, AP$2))/(POWER(Z4, AP$2)+POWER(AH4, AP$2))</f>
        <v>6.4264333407071791E-3</v>
      </c>
      <c r="AQ4">
        <f t="shared" ref="AQ4:AW4" si="6">(POWER(AA4, AQ$2))/(POWER(AA4, AQ$2)+POWER(AI4, AQ$2))</f>
        <v>0.22045234457435164</v>
      </c>
      <c r="AR4">
        <f t="shared" si="6"/>
        <v>0.26058635923709633</v>
      </c>
      <c r="AS4">
        <f t="shared" si="6"/>
        <v>0.24051803960482587</v>
      </c>
      <c r="AT4">
        <f t="shared" si="6"/>
        <v>0.12422058519571734</v>
      </c>
      <c r="AU4">
        <f t="shared" si="6"/>
        <v>2.3533353402193626E-2</v>
      </c>
      <c r="AV4">
        <f t="shared" si="6"/>
        <v>4.853894670066005E-2</v>
      </c>
      <c r="AW4">
        <f t="shared" si="6"/>
        <v>0.11976510427442716</v>
      </c>
      <c r="AY4" t="s">
        <v>50</v>
      </c>
      <c r="AZ4">
        <v>182.08308199999999</v>
      </c>
      <c r="BA4">
        <v>1400.2492460762301</v>
      </c>
      <c r="BC4">
        <f>AP4*$AZ$4</f>
        <v>1.1701447889435193</v>
      </c>
      <c r="BD4">
        <f>AQ4*$AZ$5</f>
        <v>27.431124867085128</v>
      </c>
      <c r="BE4">
        <f>AR4*$AZ$6</f>
        <v>28.4353922496257</v>
      </c>
      <c r="BF4">
        <f>AS4*$AZ$7</f>
        <v>17.38272336609057</v>
      </c>
      <c r="BG4">
        <f>AT4*$AZ$8</f>
        <v>2.904912918610318</v>
      </c>
      <c r="BH4">
        <f>AU4*$AZ$9</f>
        <v>2.8831616110465728</v>
      </c>
      <c r="BI4">
        <f>AV4*$AZ$10</f>
        <v>4.4830882307377973</v>
      </c>
      <c r="BJ4">
        <f>AW4*$AZ$11</f>
        <v>12.026679790093064</v>
      </c>
      <c r="BK4">
        <f>G4*$AZ$12</f>
        <v>3.6034020459321239</v>
      </c>
      <c r="BL4">
        <f>H4*$AZ$13</f>
        <v>-1.7598042030001664</v>
      </c>
      <c r="BM4">
        <f>I4*$AZ$14</f>
        <v>15.012865856887606</v>
      </c>
      <c r="BN4">
        <f>J4*$AZ$15</f>
        <v>0.21862388799462518</v>
      </c>
      <c r="BO4">
        <f>E4*$AZ$16</f>
        <v>0.58830156727195115</v>
      </c>
      <c r="BP4">
        <f>F4*$AZ$17</f>
        <v>-25.007026471197481</v>
      </c>
      <c r="BQ4">
        <f>C4*$AZ$18</f>
        <v>0</v>
      </c>
      <c r="BR4">
        <f>D4*$AZ$19</f>
        <v>0</v>
      </c>
      <c r="BS4">
        <f>K4*$AZ$20</f>
        <v>2.1267541721711694</v>
      </c>
      <c r="BT4">
        <f>L4*$AZ$21</f>
        <v>-1.026346096234364</v>
      </c>
      <c r="BU4">
        <f>V4*$AZ$22</f>
        <v>135.45171999999999</v>
      </c>
      <c r="BV4">
        <f>U4*$AZ$23</f>
        <v>-51.965387999999997</v>
      </c>
      <c r="BW4">
        <f>SUM(BC4:BJ4)</f>
        <v>96.717227822232672</v>
      </c>
      <c r="BX4">
        <f>SUM(BK4:BV4) + $BA$4</f>
        <v>1477.4923488360555</v>
      </c>
      <c r="BY4">
        <f>W4</f>
        <v>1220</v>
      </c>
      <c r="BZ4">
        <v>1574.2095725315901</v>
      </c>
      <c r="CB4" t="s">
        <v>50</v>
      </c>
      <c r="CC4">
        <v>510.809055</v>
      </c>
      <c r="CD4">
        <v>1202.9059259568101</v>
      </c>
      <c r="CG4">
        <f>AP4*$CC$4</f>
        <v>3.2826803417871271</v>
      </c>
      <c r="CH4">
        <f>AQ4*$CC$5</f>
        <v>80.289045913690941</v>
      </c>
      <c r="CI4">
        <f>AR4*$CC$6</f>
        <v>69.909286306164802</v>
      </c>
      <c r="CJ4">
        <f>AS4*$CC$7</f>
        <v>71.577775339401427</v>
      </c>
      <c r="CK4">
        <f>AT4*$CC$8</f>
        <v>18.453508166148826</v>
      </c>
      <c r="CL4">
        <f>AU4*$CC$9</f>
        <v>4.231262724218567</v>
      </c>
      <c r="CM4">
        <f>AV4*$CC$10</f>
        <v>11.029934525547178</v>
      </c>
      <c r="CN4">
        <f>AW4*$CC$11</f>
        <v>17.183885065019275</v>
      </c>
      <c r="CO4">
        <f>G4*$CC$12</f>
        <v>591.14244805116437</v>
      </c>
      <c r="CP4">
        <f>H4*$CC$13</f>
        <v>412.64100102884072</v>
      </c>
      <c r="CQ4">
        <f>I4*$CC$14</f>
        <v>130.18816937932098</v>
      </c>
      <c r="CR4">
        <f>J4*$CC$15</f>
        <v>31.759046890614886</v>
      </c>
      <c r="CS4">
        <f>E4*$CC$16</f>
        <v>7.3767235717254307</v>
      </c>
      <c r="CT4">
        <f>F4*$CC$17</f>
        <v>40.247858484892731</v>
      </c>
      <c r="CU4">
        <f>C4*$CC$18</f>
        <v>0</v>
      </c>
      <c r="CV4">
        <f>D4*$CC$19</f>
        <v>0</v>
      </c>
      <c r="CW4">
        <f>K4*$CC$20</f>
        <v>-0.88055421138570256</v>
      </c>
      <c r="CX4">
        <f>L4*$CC$21</f>
        <v>-501.609080614682</v>
      </c>
      <c r="CY4">
        <f>V4*$CC$22</f>
        <v>5.3776380000000001</v>
      </c>
      <c r="CZ4">
        <f>U4*$CC$23</f>
        <v>4.9468319999999997</v>
      </c>
      <c r="DA4">
        <v>9008.2273611533692</v>
      </c>
      <c r="DB4">
        <f>CG4*$DA4</f>
        <v>29571.130872807091</v>
      </c>
      <c r="DC4">
        <f t="shared" ref="DC4:DI4" si="7">CH4*$DA4</f>
        <v>723261.98020060989</v>
      </c>
      <c r="DD4">
        <f t="shared" si="7"/>
        <v>629758.74570189836</v>
      </c>
      <c r="DE4">
        <f t="shared" si="7"/>
        <v>644788.87426288484</v>
      </c>
      <c r="DF4">
        <f t="shared" si="7"/>
        <v>166233.397171569</v>
      </c>
      <c r="DG4">
        <f t="shared" si="7"/>
        <v>38116.17664453404</v>
      </c>
      <c r="DH4">
        <f t="shared" si="7"/>
        <v>99360.157984764301</v>
      </c>
      <c r="DI4">
        <f t="shared" si="7"/>
        <v>154796.34361362137</v>
      </c>
      <c r="DK4" t="s">
        <v>50</v>
      </c>
      <c r="DL4" cm="1">
        <f t="array" ref="DL4:DL11">TRANSPOSE(DB1:DI1)</f>
        <v>62409048.251766615</v>
      </c>
      <c r="DM4" cm="1">
        <f t="array" ref="DM4:DM11">TRANSPOSE(CG1:CN1)</f>
        <v>25329.498070943253</v>
      </c>
      <c r="DN4" cm="1">
        <f t="array" ref="DN4:DN11">TRANSPOSE(DB2:DI2)</f>
        <v>228627051.38210964</v>
      </c>
      <c r="DO4">
        <f>DN4/DL4</f>
        <v>3.6633638516613316</v>
      </c>
    </row>
    <row r="5" spans="1:119" x14ac:dyDescent="0.3">
      <c r="A5" s="1">
        <v>45300</v>
      </c>
      <c r="B5">
        <v>2</v>
      </c>
      <c r="C5">
        <v>0</v>
      </c>
      <c r="D5">
        <v>9.7087378640776604E-3</v>
      </c>
      <c r="E5">
        <v>0.23931566428755699</v>
      </c>
      <c r="F5">
        <v>0.97094181742605201</v>
      </c>
      <c r="G5">
        <v>0.997794198920541</v>
      </c>
      <c r="H5">
        <v>0.99658283428636696</v>
      </c>
      <c r="I5">
        <v>0.77811507627260301</v>
      </c>
      <c r="J5">
        <v>2.9558638305918698E-2</v>
      </c>
      <c r="K5">
        <v>14.332442469388999</v>
      </c>
      <c r="L5">
        <v>0.99920703557632196</v>
      </c>
      <c r="M5">
        <v>0.88821225090460398</v>
      </c>
      <c r="N5">
        <v>0.51400374040671504</v>
      </c>
      <c r="O5">
        <v>0.42533669544546399</v>
      </c>
      <c r="P5">
        <v>1.45362963018558</v>
      </c>
      <c r="Q5">
        <v>0.22907098490627301</v>
      </c>
      <c r="R5">
        <v>0.42303974075339101</v>
      </c>
      <c r="S5">
        <v>2.72574117055875</v>
      </c>
      <c r="T5">
        <v>0.82297656633017402</v>
      </c>
      <c r="U5">
        <v>12</v>
      </c>
      <c r="V5">
        <v>124</v>
      </c>
      <c r="W5">
        <v>1239</v>
      </c>
      <c r="X5">
        <v>8980.1477902848692</v>
      </c>
      <c r="Y5">
        <f t="shared" ref="Y5:Y68" si="8">X5*W5</f>
        <v>11126403.112162953</v>
      </c>
      <c r="Z5">
        <f>M5+(Z$2*Z4)</f>
        <v>1.2673037364525594</v>
      </c>
      <c r="AA5">
        <f t="shared" ref="AA5:AG20" si="9">N5+(AA$2*AA4)</f>
        <v>1.927574638163835</v>
      </c>
      <c r="AB5">
        <f t="shared" si="9"/>
        <v>1.3874992884495789</v>
      </c>
      <c r="AC5">
        <f t="shared" si="9"/>
        <v>1.8954247048956241</v>
      </c>
      <c r="AD5">
        <f t="shared" si="9"/>
        <v>0.41942198692287147</v>
      </c>
      <c r="AE5">
        <f t="shared" si="9"/>
        <v>0.52272745467145798</v>
      </c>
      <c r="AF5">
        <f t="shared" si="9"/>
        <v>3.3599820023764169</v>
      </c>
      <c r="AG5">
        <f t="shared" si="9"/>
        <v>1.280148773313259</v>
      </c>
      <c r="AH5">
        <f t="shared" si="4"/>
        <v>14.752361412031716</v>
      </c>
      <c r="AI5">
        <f t="shared" si="5"/>
        <v>6.9687240579263854</v>
      </c>
      <c r="AJ5">
        <f t="shared" si="5"/>
        <v>4.6296050148216619</v>
      </c>
      <c r="AK5">
        <f t="shared" si="5"/>
        <v>3.6948385064954095</v>
      </c>
      <c r="AL5">
        <f t="shared" si="5"/>
        <v>2.5944664113759068</v>
      </c>
      <c r="AM5">
        <f t="shared" si="5"/>
        <v>2.3895751703221002</v>
      </c>
      <c r="AN5">
        <f t="shared" si="5"/>
        <v>6.5870344778956778</v>
      </c>
      <c r="AO5">
        <f t="shared" si="5"/>
        <v>3.6424813908642166</v>
      </c>
      <c r="AP5">
        <f t="shared" ref="AP5:AP68" si="10">(POWER(Z5, AP$2))/(POWER(Z5, AP$2)+POWER(AH5, AP$2))</f>
        <v>1.9317856805090083E-2</v>
      </c>
      <c r="AQ5">
        <f t="shared" ref="AQ5:AQ68" si="11">(POWER(AA5, AQ$2))/(POWER(AA5, AQ$2)+POWER(AI5, AQ$2))</f>
        <v>0.14194391660054528</v>
      </c>
      <c r="AR5">
        <f t="shared" ref="AR5:AR68" si="12">(POWER(AB5, AR$2))/(POWER(AB5, AR$2)+POWER(AJ5, AR$2))</f>
        <v>0.16428190339235613</v>
      </c>
      <c r="AS5">
        <f t="shared" ref="AS5:AS68" si="13">(POWER(AC5, AS$2))/(POWER(AC5, AS$2)+POWER(AK5, AS$2))</f>
        <v>0.30272240034179032</v>
      </c>
      <c r="AT5">
        <f t="shared" ref="AT5:AT68" si="14">(POWER(AD5, AT$2))/(POWER(AD5, AT$2)+POWER(AL5, AT$2))</f>
        <v>9.2976358556904948E-2</v>
      </c>
      <c r="AU5">
        <f t="shared" ref="AU5:AU68" si="15">(POWER(AE5, AU$2))/(POWER(AE5, AU$2)+POWER(AM5, AU$2))</f>
        <v>9.2816863639774275E-2</v>
      </c>
      <c r="AV5">
        <f t="shared" ref="AV5:AV68" si="16">(POWER(AF5, AV$2))/(POWER(AF5, AV$2)+POWER(AN5, AV$2))</f>
        <v>0.26702849726271338</v>
      </c>
      <c r="AW5">
        <f t="shared" ref="AW5:AW68" si="17">(POWER(AG5, AW$2))/(POWER(AG5, AW$2)+POWER(AO5, AW$2))</f>
        <v>0.1959692197861013</v>
      </c>
      <c r="AY5" t="s">
        <v>51</v>
      </c>
      <c r="AZ5">
        <v>124.43108700000001</v>
      </c>
      <c r="BC5">
        <f t="shared" ref="BC5:BC68" si="18">AP5*$AZ$4</f>
        <v>3.5174549047054753</v>
      </c>
      <c r="BD5">
        <f t="shared" ref="BD5:BD68" si="19">AQ5*$AZ$5</f>
        <v>17.662235835643195</v>
      </c>
      <c r="BE5">
        <f t="shared" ref="BE5:BE68" si="20">AR5*$AZ$6</f>
        <v>17.926572887978519</v>
      </c>
      <c r="BF5">
        <f t="shared" ref="BF5:BF68" si="21">AS5*$AZ$7</f>
        <v>21.878357858337875</v>
      </c>
      <c r="BG5">
        <f t="shared" ref="BG5:BG68" si="22">AT5*$AZ$8</f>
        <v>2.1742630230871733</v>
      </c>
      <c r="BH5">
        <f t="shared" ref="BH5:BH68" si="23">AU5*$AZ$9</f>
        <v>11.371350845349442</v>
      </c>
      <c r="BI5">
        <f t="shared" ref="BI5:BI68" si="24">AV5*$AZ$10</f>
        <v>24.662923172450952</v>
      </c>
      <c r="BJ5">
        <f t="shared" ref="BJ5:BJ68" si="25">AW5*$AZ$11</f>
        <v>19.679013092840087</v>
      </c>
      <c r="BK5">
        <f t="shared" ref="BK5:BK68" si="26">G5*$AZ$12</f>
        <v>3.5921698712700278</v>
      </c>
      <c r="BL5">
        <f t="shared" ref="BL5:BL68" si="27">H5*$AZ$13</f>
        <v>-1.7587165670583633</v>
      </c>
      <c r="BM5">
        <f t="shared" ref="BM5:BM68" si="28">I5*$AZ$14</f>
        <v>15.147117995514829</v>
      </c>
      <c r="BN5">
        <f t="shared" ref="BN5:BN68" si="29">J5*$AZ$15</f>
        <v>8.928269464489999E-2</v>
      </c>
      <c r="BO5">
        <f t="shared" ref="BO5:BO68" si="30">E5*$AZ$16</f>
        <v>1.1680243729533151</v>
      </c>
      <c r="BP5">
        <f t="shared" ref="BP5:BP68" si="31">F5*$AZ$17</f>
        <v>-24.458699185525361</v>
      </c>
      <c r="BQ5">
        <f t="shared" ref="BQ5:BQ68" si="32">C5*$AZ$18</f>
        <v>0</v>
      </c>
      <c r="BR5">
        <f t="shared" ref="BR5:BR68" si="33">D5*$AZ$19</f>
        <v>1.2238579320388336</v>
      </c>
      <c r="BS5">
        <f t="shared" ref="BS5:BS68" si="34">K5*$AZ$20</f>
        <v>1.4000933075072031</v>
      </c>
      <c r="BT5">
        <f t="shared" ref="BT5:BT68" si="35">L5*$AZ$21</f>
        <v>-1.0263684804243931</v>
      </c>
      <c r="BU5">
        <f t="shared" ref="BU5:BU68" si="36">V5*$AZ$22</f>
        <v>137.67224000000002</v>
      </c>
      <c r="BV5">
        <f t="shared" ref="BV5:BV68" si="37">U5*$AZ$23</f>
        <v>-51.965387999999997</v>
      </c>
      <c r="BW5">
        <f t="shared" ref="BW5:BW68" si="38">SUM(BC5:BJ5)</f>
        <v>118.87217162039272</v>
      </c>
      <c r="BX5">
        <f t="shared" ref="BX5:BX68" si="39">SUM(BK5:BV5) + $BA$4</f>
        <v>1481.332860017151</v>
      </c>
      <c r="BY5">
        <f t="shared" ref="BY5:BY68" si="40">W5</f>
        <v>1239</v>
      </c>
      <c r="BZ5">
        <v>1600.2050290699699</v>
      </c>
      <c r="CB5" t="s">
        <v>51</v>
      </c>
      <c r="CC5">
        <v>364.20137</v>
      </c>
      <c r="CD5">
        <v>1229.8315794386201</v>
      </c>
      <c r="CG5">
        <f t="shared" ref="CG5:CG68" si="41">AP5*$CC$4</f>
        <v>9.8677361792333844</v>
      </c>
      <c r="CH5">
        <f t="shared" ref="CH5:CH68" si="42">AQ5*$CC$5</f>
        <v>51.696168889084333</v>
      </c>
      <c r="CI5">
        <f t="shared" ref="CI5:CI68" si="43">AR5*$CC$6</f>
        <v>44.073030732696097</v>
      </c>
      <c r="CJ5">
        <f t="shared" ref="CJ5:CJ68" si="44">AS5*$CC$7</f>
        <v>90.089691390592236</v>
      </c>
      <c r="CK5">
        <f t="shared" ref="CK5:CK68" si="45">AT5*$CC$8</f>
        <v>13.812042417811595</v>
      </c>
      <c r="CL5">
        <f t="shared" ref="CL5:CL68" si="46">AU5*$CC$9</f>
        <v>16.68833712671168</v>
      </c>
      <c r="CM5">
        <f t="shared" ref="CM5:CM68" si="47">AV5*$CC$10</f>
        <v>60.679249169264132</v>
      </c>
      <c r="CN5">
        <f t="shared" ref="CN5:CN68" si="48">AW5*$CC$11</f>
        <v>28.117643862018614</v>
      </c>
      <c r="CO5">
        <f t="shared" ref="CO5:CO68" si="49">G5*$CC$12</f>
        <v>589.29979626209035</v>
      </c>
      <c r="CP5">
        <f t="shared" ref="CP5:CP68" si="50">H5*$CC$13</f>
        <v>412.38597084820168</v>
      </c>
      <c r="CQ5">
        <f t="shared" ref="CQ5:CQ68" si="51">I5*$CC$14</f>
        <v>131.3523734912973</v>
      </c>
      <c r="CR5">
        <f t="shared" ref="CR5:CR68" si="52">J5*$CC$15</f>
        <v>12.969915189768926</v>
      </c>
      <c r="CS5">
        <f t="shared" ref="CS5:CS68" si="53">E5*$CC$16</f>
        <v>14.645877902840214</v>
      </c>
      <c r="CT5">
        <f t="shared" ref="CT5:CT68" si="54">F5*$CC$17</f>
        <v>39.365346562791352</v>
      </c>
      <c r="CU5">
        <f t="shared" ref="CU5:CU68" si="55">C5*$CC$18</f>
        <v>0</v>
      </c>
      <c r="CV5">
        <f t="shared" ref="CV5:CV68" si="56">D5*$CC$19</f>
        <v>0.81701737864077584</v>
      </c>
      <c r="CW5">
        <f t="shared" ref="CW5:CW68" si="57">K5*$CC$20</f>
        <v>-0.57968996811690754</v>
      </c>
      <c r="CX5">
        <f t="shared" ref="CX5:CX68" si="58">L5*$CC$21</f>
        <v>-501.62002050427867</v>
      </c>
      <c r="CY5">
        <f t="shared" ref="CY5:CY68" si="59">V5*$CC$22</f>
        <v>5.4657960000000001</v>
      </c>
      <c r="CZ5">
        <f t="shared" ref="CZ5:CZ68" si="60">U5*$CC$23</f>
        <v>4.9468319999999997</v>
      </c>
      <c r="DA5">
        <v>8980.1477902848692</v>
      </c>
      <c r="DB5">
        <f t="shared" ref="DB5:DB8" si="61">CG5*$DA5</f>
        <v>88613.729245056733</v>
      </c>
      <c r="DC5">
        <f t="shared" ref="DC5:DC8" si="62">CH5*$DA5</f>
        <v>464239.23681550409</v>
      </c>
      <c r="DD5">
        <f t="shared" ref="DD5:DD8" si="63">CI5*$DA5</f>
        <v>395782.32954537799</v>
      </c>
      <c r="DE5">
        <f t="shared" ref="DE5:DE8" si="64">CJ5*$DA5</f>
        <v>809018.74306867272</v>
      </c>
      <c r="DF5">
        <f t="shared" ref="DF5:DF8" si="65">CK5*$DA5</f>
        <v>124034.18219763167</v>
      </c>
      <c r="DG5">
        <f t="shared" ref="DG5:DG8" si="66">CL5*$DA5</f>
        <v>149863.73377196884</v>
      </c>
      <c r="DH5">
        <f t="shared" ref="DH5:DH8" si="67">CM5*$DA5</f>
        <v>544908.62534351228</v>
      </c>
      <c r="DI5">
        <f t="shared" ref="DI5:DI8" si="68">CN5*$DA5</f>
        <v>252500.59739552336</v>
      </c>
      <c r="DK5" t="s">
        <v>51</v>
      </c>
      <c r="DL5">
        <v>37012010.765733972</v>
      </c>
      <c r="DM5">
        <v>17480.517328473878</v>
      </c>
      <c r="DN5">
        <v>157677938.80714723</v>
      </c>
      <c r="DO5">
        <f t="shared" ref="DO5:DO11" si="69">DN5/DL5</f>
        <v>4.2601829931684438</v>
      </c>
    </row>
    <row r="6" spans="1:119" x14ac:dyDescent="0.3">
      <c r="A6" s="1">
        <v>45307</v>
      </c>
      <c r="B6">
        <v>3</v>
      </c>
      <c r="C6">
        <v>0</v>
      </c>
      <c r="D6">
        <v>1.94174757281553E-2</v>
      </c>
      <c r="E6">
        <v>0.35460488704253501</v>
      </c>
      <c r="F6">
        <v>0.93501624268541395</v>
      </c>
      <c r="G6">
        <v>1.0000455525079599</v>
      </c>
      <c r="H6">
        <v>0.99373276812163502</v>
      </c>
      <c r="I6">
        <v>0.79207164678278297</v>
      </c>
      <c r="J6">
        <v>5.6613222327731298E-2</v>
      </c>
      <c r="K6">
        <v>2.9944168104941</v>
      </c>
      <c r="L6">
        <v>1.0002421922134599</v>
      </c>
      <c r="M6">
        <v>11.2295930764927</v>
      </c>
      <c r="N6">
        <v>2.0978242249666401</v>
      </c>
      <c r="O6">
        <v>4.0440394424547002</v>
      </c>
      <c r="P6">
        <v>2.48903090567073</v>
      </c>
      <c r="Q6">
        <v>1.8351398638002501</v>
      </c>
      <c r="R6">
        <v>1.2079839272903501</v>
      </c>
      <c r="S6">
        <v>0.69383220904547904</v>
      </c>
      <c r="T6">
        <v>1.5778064843139401</v>
      </c>
      <c r="U6">
        <v>16</v>
      </c>
      <c r="V6">
        <v>129</v>
      </c>
      <c r="W6">
        <v>1723</v>
      </c>
      <c r="X6">
        <v>9000.4099725716496</v>
      </c>
      <c r="Y6">
        <f t="shared" si="8"/>
        <v>15507706.382740952</v>
      </c>
      <c r="Z6">
        <f t="shared" ref="Z6:Z69" si="70">M6+(Z$2*Z5)</f>
        <v>11.989975318364236</v>
      </c>
      <c r="AA6">
        <f t="shared" si="9"/>
        <v>3.0616115440485574</v>
      </c>
      <c r="AB6">
        <f t="shared" si="9"/>
        <v>4.668414122257011</v>
      </c>
      <c r="AC6">
        <f t="shared" si="9"/>
        <v>3.0576583171394174</v>
      </c>
      <c r="AD6">
        <f t="shared" si="9"/>
        <v>1.9819375592232551</v>
      </c>
      <c r="AE6">
        <f t="shared" si="9"/>
        <v>1.4693476546260791</v>
      </c>
      <c r="AF6">
        <f t="shared" si="9"/>
        <v>3.0458196107089708</v>
      </c>
      <c r="AG6">
        <f t="shared" si="9"/>
        <v>2.2818883096362326</v>
      </c>
      <c r="AH6">
        <f t="shared" si="4"/>
        <v>14.752361412031716</v>
      </c>
      <c r="AI6">
        <f t="shared" si="5"/>
        <v>6.9687240579263854</v>
      </c>
      <c r="AJ6">
        <f t="shared" si="5"/>
        <v>4.6296050148216619</v>
      </c>
      <c r="AK6">
        <f t="shared" si="5"/>
        <v>3.6948385064954095</v>
      </c>
      <c r="AL6">
        <f t="shared" si="5"/>
        <v>2.5944664113759068</v>
      </c>
      <c r="AM6">
        <f t="shared" si="5"/>
        <v>2.3895751703221002</v>
      </c>
      <c r="AN6">
        <f t="shared" si="5"/>
        <v>6.5870344778956778</v>
      </c>
      <c r="AO6">
        <f t="shared" si="5"/>
        <v>3.6424813908642166</v>
      </c>
      <c r="AP6">
        <f t="shared" si="10"/>
        <v>0.41781935593220709</v>
      </c>
      <c r="AQ6">
        <f t="shared" si="11"/>
        <v>0.24021757970967733</v>
      </c>
      <c r="AR6">
        <f t="shared" si="12"/>
        <v>0.50281737669169591</v>
      </c>
      <c r="AS6">
        <f t="shared" si="13"/>
        <v>0.44112209143614467</v>
      </c>
      <c r="AT6">
        <f t="shared" si="14"/>
        <v>0.41662773185288371</v>
      </c>
      <c r="AU6">
        <f t="shared" si="15"/>
        <v>0.32531639829134767</v>
      </c>
      <c r="AV6">
        <f t="shared" si="16"/>
        <v>0.23921286097737596</v>
      </c>
      <c r="AW6">
        <f t="shared" si="17"/>
        <v>0.34720596810430238</v>
      </c>
      <c r="AY6" t="s">
        <v>52</v>
      </c>
      <c r="AZ6">
        <v>109.120801</v>
      </c>
      <c r="BC6">
        <f t="shared" si="18"/>
        <v>76.077836047391244</v>
      </c>
      <c r="BD6">
        <f t="shared" si="19"/>
        <v>29.890534559784296</v>
      </c>
      <c r="BE6">
        <f t="shared" si="20"/>
        <v>54.867834901316584</v>
      </c>
      <c r="BF6">
        <f t="shared" si="21"/>
        <v>31.880782409104416</v>
      </c>
      <c r="BG6">
        <f t="shared" si="22"/>
        <v>9.7428882548243134</v>
      </c>
      <c r="BH6">
        <f t="shared" si="23"/>
        <v>39.855762796224433</v>
      </c>
      <c r="BI6">
        <f t="shared" si="24"/>
        <v>22.093853175314329</v>
      </c>
      <c r="BJ6">
        <f t="shared" si="25"/>
        <v>34.86604069605719</v>
      </c>
      <c r="BK6">
        <f t="shared" si="26"/>
        <v>3.6002749940849843</v>
      </c>
      <c r="BL6">
        <f t="shared" si="27"/>
        <v>-1.7536869213443511</v>
      </c>
      <c r="BM6">
        <f t="shared" si="28"/>
        <v>15.418802514651889</v>
      </c>
      <c r="BN6">
        <f t="shared" si="29"/>
        <v>0.17100182321113758</v>
      </c>
      <c r="BO6">
        <f t="shared" si="30"/>
        <v>1.730714753115195</v>
      </c>
      <c r="BP6">
        <f t="shared" si="31"/>
        <v>-23.553708989534247</v>
      </c>
      <c r="BQ6">
        <f t="shared" si="32"/>
        <v>0</v>
      </c>
      <c r="BR6">
        <f t="shared" si="33"/>
        <v>2.4477158640776651</v>
      </c>
      <c r="BS6">
        <f t="shared" si="34"/>
        <v>0.29251559496673712</v>
      </c>
      <c r="BT6">
        <f t="shared" si="35"/>
        <v>-1.0274317757243983</v>
      </c>
      <c r="BU6">
        <f t="shared" si="36"/>
        <v>143.22354000000001</v>
      </c>
      <c r="BV6">
        <f t="shared" si="37"/>
        <v>-69.287183999999996</v>
      </c>
      <c r="BW6">
        <f t="shared" si="38"/>
        <v>299.27553284001687</v>
      </c>
      <c r="BX6">
        <f t="shared" si="39"/>
        <v>1471.5117999337347</v>
      </c>
      <c r="BY6">
        <f t="shared" si="40"/>
        <v>1723</v>
      </c>
      <c r="BZ6">
        <v>1770.78733157122</v>
      </c>
      <c r="CB6" t="s">
        <v>52</v>
      </c>
      <c r="CC6">
        <v>268.27684499999998</v>
      </c>
      <c r="CD6">
        <v>1729.05320472126</v>
      </c>
      <c r="CG6">
        <f t="shared" si="41"/>
        <v>213.42591036443935</v>
      </c>
      <c r="CH6">
        <f t="shared" si="42"/>
        <v>87.48757162834869</v>
      </c>
      <c r="CI6">
        <f t="shared" si="43"/>
        <v>134.8942594300247</v>
      </c>
      <c r="CJ6">
        <f t="shared" si="44"/>
        <v>131.27721317677717</v>
      </c>
      <c r="CK6">
        <f t="shared" si="45"/>
        <v>61.891861480751707</v>
      </c>
      <c r="CL6">
        <f t="shared" si="46"/>
        <v>58.49141540274119</v>
      </c>
      <c r="CM6">
        <f t="shared" si="47"/>
        <v>54.358455912134509</v>
      </c>
      <c r="CN6">
        <f t="shared" si="48"/>
        <v>49.817077235802522</v>
      </c>
      <c r="CO6">
        <f t="shared" si="49"/>
        <v>590.62945142726892</v>
      </c>
      <c r="CP6">
        <f t="shared" si="50"/>
        <v>411.20661348633598</v>
      </c>
      <c r="CQ6">
        <f t="shared" si="51"/>
        <v>133.70836005191308</v>
      </c>
      <c r="CR6">
        <f t="shared" si="52"/>
        <v>24.841086541634791</v>
      </c>
      <c r="CS6">
        <f t="shared" si="53"/>
        <v>21.701462354486779</v>
      </c>
      <c r="CT6">
        <f t="shared" si="54"/>
        <v>37.908799244763834</v>
      </c>
      <c r="CU6">
        <f t="shared" si="55"/>
        <v>0</v>
      </c>
      <c r="CV6">
        <f t="shared" si="56"/>
        <v>1.6340347572815499</v>
      </c>
      <c r="CW6">
        <f t="shared" si="57"/>
        <v>-0.12111218231724438</v>
      </c>
      <c r="CX6">
        <f t="shared" si="58"/>
        <v>-502.13968787556252</v>
      </c>
      <c r="CY6">
        <f t="shared" si="59"/>
        <v>5.686191</v>
      </c>
      <c r="CZ6">
        <f t="shared" si="60"/>
        <v>6.5957759999999999</v>
      </c>
      <c r="DA6">
        <v>9000.4099725716496</v>
      </c>
      <c r="DB6">
        <f t="shared" si="61"/>
        <v>1920920.6920492828</v>
      </c>
      <c r="DC6">
        <f t="shared" si="62"/>
        <v>787424.01215986605</v>
      </c>
      <c r="DD6">
        <f t="shared" si="63"/>
        <v>1214103.6378166617</v>
      </c>
      <c r="DE6">
        <f t="shared" si="64"/>
        <v>1181548.7386476796</v>
      </c>
      <c r="DF6">
        <f t="shared" si="65"/>
        <v>557052.12729238078</v>
      </c>
      <c r="DG6">
        <f t="shared" si="66"/>
        <v>526446.71850066283</v>
      </c>
      <c r="DH6">
        <f t="shared" si="67"/>
        <v>489248.38868517178</v>
      </c>
      <c r="DI6">
        <f t="shared" si="68"/>
        <v>448374.11875748914</v>
      </c>
      <c r="DK6" t="s">
        <v>52</v>
      </c>
      <c r="DL6">
        <v>28312761.838616047</v>
      </c>
      <c r="DM6">
        <v>12927.426421111897</v>
      </c>
      <c r="DN6">
        <v>116643993.83349034</v>
      </c>
      <c r="DO6">
        <f t="shared" si="69"/>
        <v>4.1198380609552006</v>
      </c>
    </row>
    <row r="7" spans="1:119" x14ac:dyDescent="0.3">
      <c r="A7" s="1">
        <v>45314</v>
      </c>
      <c r="B7">
        <v>4</v>
      </c>
      <c r="C7">
        <v>0</v>
      </c>
      <c r="D7">
        <v>2.9126213592233E-2</v>
      </c>
      <c r="E7">
        <v>0.46472317204376801</v>
      </c>
      <c r="F7">
        <v>0.88545602565320902</v>
      </c>
      <c r="G7">
        <v>1.00286724665713</v>
      </c>
      <c r="H7">
        <v>0.99271566889393403</v>
      </c>
      <c r="I7">
        <v>0.77110500486143896</v>
      </c>
      <c r="J7">
        <v>4.7402844192372298E-2</v>
      </c>
      <c r="K7">
        <v>8.7151807380750803</v>
      </c>
      <c r="L7">
        <v>1.0009518230104999</v>
      </c>
      <c r="M7">
        <v>5.21923656131729</v>
      </c>
      <c r="N7">
        <v>2.47502779595303</v>
      </c>
      <c r="O7">
        <v>2.2266588274386301</v>
      </c>
      <c r="P7">
        <v>2.97875419234171</v>
      </c>
      <c r="Q7">
        <v>1.57528031105443</v>
      </c>
      <c r="R7">
        <v>1.20790439293906</v>
      </c>
      <c r="S7">
        <v>1.2466347850869199</v>
      </c>
      <c r="T7">
        <v>1.13040704054409</v>
      </c>
      <c r="U7">
        <v>11</v>
      </c>
      <c r="V7">
        <v>96</v>
      </c>
      <c r="W7">
        <v>1775</v>
      </c>
      <c r="X7">
        <v>9025.8052199142094</v>
      </c>
      <c r="Y7">
        <f t="shared" si="8"/>
        <v>16020804.265347721</v>
      </c>
      <c r="Z7">
        <f t="shared" si="70"/>
        <v>12.413221752335831</v>
      </c>
      <c r="AA7">
        <f t="shared" si="9"/>
        <v>4.0058335679773087</v>
      </c>
      <c r="AB7">
        <f t="shared" si="9"/>
        <v>4.3274451824542854</v>
      </c>
      <c r="AC7">
        <f t="shared" si="9"/>
        <v>3.8960516874835349</v>
      </c>
      <c r="AD7">
        <f t="shared" si="9"/>
        <v>2.2689584567825691</v>
      </c>
      <c r="AE7">
        <f t="shared" si="9"/>
        <v>1.9425782202520996</v>
      </c>
      <c r="AF7">
        <f t="shared" si="9"/>
        <v>3.3787085125831995</v>
      </c>
      <c r="AG7">
        <f t="shared" si="9"/>
        <v>2.3854456108440178</v>
      </c>
      <c r="AH7">
        <f t="shared" si="4"/>
        <v>14.752361412031716</v>
      </c>
      <c r="AI7">
        <f t="shared" si="5"/>
        <v>6.9687240579263854</v>
      </c>
      <c r="AJ7">
        <f t="shared" si="5"/>
        <v>4.6296050148216619</v>
      </c>
      <c r="AK7">
        <f t="shared" si="5"/>
        <v>3.6948385064954095</v>
      </c>
      <c r="AL7">
        <f t="shared" si="5"/>
        <v>2.5944664113759068</v>
      </c>
      <c r="AM7">
        <f t="shared" si="5"/>
        <v>2.3895751703221002</v>
      </c>
      <c r="AN7">
        <f t="shared" si="5"/>
        <v>6.5870344778956778</v>
      </c>
      <c r="AO7">
        <f t="shared" si="5"/>
        <v>3.6424813908642166</v>
      </c>
      <c r="AP7">
        <f t="shared" si="10"/>
        <v>0.43137936597816268</v>
      </c>
      <c r="AQ7">
        <f t="shared" si="11"/>
        <v>0.31536554277533752</v>
      </c>
      <c r="AR7">
        <f t="shared" si="12"/>
        <v>0.47723644991138386</v>
      </c>
      <c r="AS7">
        <f t="shared" si="13"/>
        <v>0.51656481221349881</v>
      </c>
      <c r="AT7">
        <f t="shared" si="14"/>
        <v>0.45820401879242262</v>
      </c>
      <c r="AU7">
        <f t="shared" si="15"/>
        <v>0.42295626238825951</v>
      </c>
      <c r="AV7">
        <f t="shared" si="16"/>
        <v>0.26866339361902114</v>
      </c>
      <c r="AW7">
        <f t="shared" si="17"/>
        <v>0.36090763438482576</v>
      </c>
      <c r="AY7" t="s">
        <v>53</v>
      </c>
      <c r="AZ7">
        <v>72.272014999999996</v>
      </c>
      <c r="BC7">
        <f t="shared" si="18"/>
        <v>78.546884468509802</v>
      </c>
      <c r="BD7">
        <f t="shared" si="19"/>
        <v>39.241277289880244</v>
      </c>
      <c r="BE7">
        <f t="shared" si="20"/>
        <v>52.076423680726585</v>
      </c>
      <c r="BF7">
        <f t="shared" si="21"/>
        <v>37.333179856766165</v>
      </c>
      <c r="BG7">
        <f t="shared" si="22"/>
        <v>10.715154589331002</v>
      </c>
      <c r="BH7">
        <f t="shared" si="23"/>
        <v>51.81799797201456</v>
      </c>
      <c r="BI7">
        <f t="shared" si="24"/>
        <v>24.813923247888102</v>
      </c>
      <c r="BJ7">
        <f t="shared" si="25"/>
        <v>36.241946924711108</v>
      </c>
      <c r="BK7">
        <f t="shared" si="26"/>
        <v>3.6104334062300469</v>
      </c>
      <c r="BL7">
        <f t="shared" si="27"/>
        <v>-1.7518919985335635</v>
      </c>
      <c r="BM7">
        <f t="shared" si="28"/>
        <v>15.010656973154832</v>
      </c>
      <c r="BN7">
        <f t="shared" si="29"/>
        <v>0.14318161816269792</v>
      </c>
      <c r="BO7">
        <f t="shared" si="30"/>
        <v>2.2681674149464377</v>
      </c>
      <c r="BP7">
        <f t="shared" si="31"/>
        <v>-22.305252678142164</v>
      </c>
      <c r="BQ7">
        <f t="shared" si="32"/>
        <v>0</v>
      </c>
      <c r="BR7">
        <f t="shared" si="33"/>
        <v>3.6715737961165038</v>
      </c>
      <c r="BS7">
        <f t="shared" si="34"/>
        <v>0.85135986076034031</v>
      </c>
      <c r="BT7">
        <f t="shared" si="35"/>
        <v>-1.0281606964153942</v>
      </c>
      <c r="BU7">
        <f t="shared" si="36"/>
        <v>106.58496</v>
      </c>
      <c r="BV7">
        <f t="shared" si="37"/>
        <v>-47.634938999999996</v>
      </c>
      <c r="BW7">
        <f t="shared" si="38"/>
        <v>330.78678802982756</v>
      </c>
      <c r="BX7">
        <f t="shared" si="39"/>
        <v>1459.6693347725097</v>
      </c>
      <c r="BY7">
        <f t="shared" si="40"/>
        <v>1775</v>
      </c>
      <c r="BZ7">
        <v>1790.4561207325601</v>
      </c>
      <c r="CB7" t="s">
        <v>53</v>
      </c>
      <c r="CC7">
        <v>297.598365</v>
      </c>
      <c r="CD7">
        <v>1806.43596179267</v>
      </c>
      <c r="CG7">
        <f t="shared" si="41"/>
        <v>220.35248628180443</v>
      </c>
      <c r="CH7">
        <f t="shared" si="42"/>
        <v>114.85656272957152</v>
      </c>
      <c r="CI7">
        <f t="shared" si="43"/>
        <v>128.03148910122658</v>
      </c>
      <c r="CJ7">
        <f t="shared" si="44"/>
        <v>153.72884353126929</v>
      </c>
      <c r="CK7">
        <f t="shared" si="45"/>
        <v>68.06819972089211</v>
      </c>
      <c r="CL7">
        <f t="shared" si="46"/>
        <v>76.046920999003547</v>
      </c>
      <c r="CM7">
        <f t="shared" si="47"/>
        <v>61.050761140410494</v>
      </c>
      <c r="CN7">
        <f t="shared" si="48"/>
        <v>51.782990929863722</v>
      </c>
      <c r="CO7">
        <f t="shared" si="49"/>
        <v>592.29595118144539</v>
      </c>
      <c r="CP7">
        <f t="shared" si="50"/>
        <v>410.78573783201591</v>
      </c>
      <c r="CQ7">
        <f t="shared" si="51"/>
        <v>130.16901444033181</v>
      </c>
      <c r="CR7">
        <f t="shared" si="52"/>
        <v>20.799702021652063</v>
      </c>
      <c r="CS7">
        <f t="shared" si="53"/>
        <v>28.440590617567526</v>
      </c>
      <c r="CT7">
        <f t="shared" si="54"/>
        <v>35.899456270566013</v>
      </c>
      <c r="CU7">
        <f t="shared" si="55"/>
        <v>0</v>
      </c>
      <c r="CV7">
        <f t="shared" si="56"/>
        <v>2.4510521359223292</v>
      </c>
      <c r="CW7">
        <f t="shared" si="57"/>
        <v>-0.35249420013218474</v>
      </c>
      <c r="CX7">
        <f t="shared" si="58"/>
        <v>-502.49593538212292</v>
      </c>
      <c r="CY7">
        <f t="shared" si="59"/>
        <v>4.2315839999999998</v>
      </c>
      <c r="CZ7">
        <f t="shared" si="60"/>
        <v>4.5345959999999996</v>
      </c>
      <c r="DA7">
        <v>9025.8052199142094</v>
      </c>
      <c r="DB7">
        <f t="shared" si="61"/>
        <v>1988858.6209033846</v>
      </c>
      <c r="DC7">
        <f t="shared" si="62"/>
        <v>1036672.9634259705</v>
      </c>
      <c r="DD7">
        <f t="shared" si="63"/>
        <v>1155587.2826432402</v>
      </c>
      <c r="DE7">
        <f t="shared" si="64"/>
        <v>1387526.598395905</v>
      </c>
      <c r="DF7">
        <f t="shared" si="65"/>
        <v>614370.31235099095</v>
      </c>
      <c r="DG7">
        <f t="shared" si="66"/>
        <v>686384.69651120971</v>
      </c>
      <c r="DH7">
        <f t="shared" si="67"/>
        <v>551032.27858085255</v>
      </c>
      <c r="DI7">
        <f t="shared" si="68"/>
        <v>467383.18983753416</v>
      </c>
      <c r="DK7" t="s">
        <v>53</v>
      </c>
      <c r="DL7">
        <v>26740709.275069118</v>
      </c>
      <c r="DM7">
        <v>14790.578289620615</v>
      </c>
      <c r="DN7">
        <v>133464191.3195765</v>
      </c>
      <c r="DO7">
        <f t="shared" si="69"/>
        <v>4.9910490386284465</v>
      </c>
    </row>
    <row r="8" spans="1:119" x14ac:dyDescent="0.3">
      <c r="A8" s="1">
        <v>45321</v>
      </c>
      <c r="B8">
        <v>5</v>
      </c>
      <c r="C8">
        <v>0</v>
      </c>
      <c r="D8">
        <v>3.88349514563106E-2</v>
      </c>
      <c r="E8">
        <v>0.56806474673115503</v>
      </c>
      <c r="F8">
        <v>0.82298386589365602</v>
      </c>
      <c r="G8">
        <v>0.99701414109117303</v>
      </c>
      <c r="H8">
        <v>0.99523659330630598</v>
      </c>
      <c r="I8">
        <v>0.78613155764439002</v>
      </c>
      <c r="J8">
        <v>4.0661647888706E-2</v>
      </c>
      <c r="K8">
        <v>7.1796748221773399</v>
      </c>
      <c r="L8">
        <v>1.00037545414118</v>
      </c>
      <c r="M8">
        <v>2.4495970449604401</v>
      </c>
      <c r="N8">
        <v>0.76563389265290405</v>
      </c>
      <c r="O8">
        <v>1.6150134247101999</v>
      </c>
      <c r="P8">
        <v>2.5457986629631302</v>
      </c>
      <c r="Q8">
        <v>2.0328154231786</v>
      </c>
      <c r="R8">
        <v>0.87572494676663504</v>
      </c>
      <c r="S8">
        <v>0.42238202128317598</v>
      </c>
      <c r="T8">
        <v>0.86608552032738995</v>
      </c>
      <c r="U8">
        <v>12</v>
      </c>
      <c r="V8">
        <v>124</v>
      </c>
      <c r="W8">
        <v>1668</v>
      </c>
      <c r="X8">
        <v>8973.1272698205594</v>
      </c>
      <c r="Y8">
        <f t="shared" si="8"/>
        <v>14967176.286060693</v>
      </c>
      <c r="Z8">
        <f t="shared" si="70"/>
        <v>9.8975300963619386</v>
      </c>
      <c r="AA8">
        <f t="shared" si="9"/>
        <v>2.7685506766415582</v>
      </c>
      <c r="AB8">
        <f t="shared" si="9"/>
        <v>3.5623637568146282</v>
      </c>
      <c r="AC8">
        <f t="shared" si="9"/>
        <v>3.7146141692081907</v>
      </c>
      <c r="AD8">
        <f t="shared" si="9"/>
        <v>2.8269508830524992</v>
      </c>
      <c r="AE8">
        <f t="shared" si="9"/>
        <v>1.8470140568926849</v>
      </c>
      <c r="AF8">
        <f t="shared" si="9"/>
        <v>2.7874779800914156</v>
      </c>
      <c r="AG8">
        <f t="shared" si="9"/>
        <v>2.1780806062916001</v>
      </c>
      <c r="AH8">
        <f t="shared" si="4"/>
        <v>14.752361412031716</v>
      </c>
      <c r="AI8">
        <f t="shared" si="5"/>
        <v>6.9687240579263854</v>
      </c>
      <c r="AJ8">
        <f t="shared" si="5"/>
        <v>4.6296050148216619</v>
      </c>
      <c r="AK8">
        <f t="shared" si="5"/>
        <v>3.6948385064954095</v>
      </c>
      <c r="AL8">
        <f t="shared" si="5"/>
        <v>2.5944664113759068</v>
      </c>
      <c r="AM8">
        <f t="shared" si="5"/>
        <v>2.3895751703221002</v>
      </c>
      <c r="AN8">
        <f t="shared" si="5"/>
        <v>6.5870344778956778</v>
      </c>
      <c r="AO8">
        <f t="shared" si="5"/>
        <v>3.6424813908642166</v>
      </c>
      <c r="AP8">
        <f t="shared" si="10"/>
        <v>0.34556563988326844</v>
      </c>
      <c r="AQ8">
        <f t="shared" si="11"/>
        <v>0.21545506812359033</v>
      </c>
      <c r="AR8">
        <f t="shared" si="12"/>
        <v>0.41247000986343568</v>
      </c>
      <c r="AS8">
        <f t="shared" si="13"/>
        <v>0.5016681087292354</v>
      </c>
      <c r="AT8">
        <f t="shared" si="14"/>
        <v>0.52679238458074551</v>
      </c>
      <c r="AU8">
        <f t="shared" si="15"/>
        <v>0.40460399794250934</v>
      </c>
      <c r="AV8">
        <f t="shared" si="16"/>
        <v>0.21586144154032874</v>
      </c>
      <c r="AW8">
        <f t="shared" si="17"/>
        <v>0.33309974596325903</v>
      </c>
      <c r="AY8" t="s">
        <v>54</v>
      </c>
      <c r="AZ8">
        <v>23.385117000000001</v>
      </c>
      <c r="BC8">
        <f t="shared" si="18"/>
        <v>62.921656743247631</v>
      </c>
      <c r="BD8">
        <f t="shared" si="19"/>
        <v>26.809308326277396</v>
      </c>
      <c r="BE8">
        <f t="shared" si="20"/>
        <v>45.009057864776004</v>
      </c>
      <c r="BF8">
        <f t="shared" si="21"/>
        <v>36.25656507910093</v>
      </c>
      <c r="BG8">
        <f t="shared" si="22"/>
        <v>12.31910154812973</v>
      </c>
      <c r="BH8">
        <f t="shared" si="23"/>
        <v>49.569591490308909</v>
      </c>
      <c r="BI8">
        <f t="shared" si="24"/>
        <v>19.93710110784879</v>
      </c>
      <c r="BJ8">
        <f t="shared" si="25"/>
        <v>33.449509413710423</v>
      </c>
      <c r="BK8">
        <f t="shared" si="26"/>
        <v>3.5893615764978839</v>
      </c>
      <c r="BL8">
        <f t="shared" si="27"/>
        <v>-1.7563407923275236</v>
      </c>
      <c r="BM8">
        <f t="shared" si="28"/>
        <v>15.303170220886138</v>
      </c>
      <c r="BN8">
        <f t="shared" si="29"/>
        <v>0.12281964597397736</v>
      </c>
      <c r="BO8">
        <f t="shared" si="30"/>
        <v>2.7725450883995473</v>
      </c>
      <c r="BP8">
        <f t="shared" si="31"/>
        <v>-20.731535555647991</v>
      </c>
      <c r="BQ8">
        <f t="shared" si="32"/>
        <v>0</v>
      </c>
      <c r="BR8">
        <f t="shared" si="33"/>
        <v>4.8954317281553301</v>
      </c>
      <c r="BS8">
        <f t="shared" si="34"/>
        <v>0.70136089435403781</v>
      </c>
      <c r="BT8">
        <f t="shared" si="35"/>
        <v>-1.0275686601110996</v>
      </c>
      <c r="BU8">
        <f t="shared" si="36"/>
        <v>137.67224000000002</v>
      </c>
      <c r="BV8">
        <f t="shared" si="37"/>
        <v>-51.965387999999997</v>
      </c>
      <c r="BW8">
        <f t="shared" si="38"/>
        <v>286.27189157339984</v>
      </c>
      <c r="BX8">
        <f t="shared" si="39"/>
        <v>1489.8253422224104</v>
      </c>
      <c r="BY8">
        <f t="shared" si="40"/>
        <v>1668</v>
      </c>
      <c r="BZ8">
        <v>1776.09723239606</v>
      </c>
      <c r="CB8" t="s">
        <v>54</v>
      </c>
      <c r="CC8">
        <v>148.554349</v>
      </c>
      <c r="CD8">
        <v>1699.0777493170399</v>
      </c>
      <c r="CG8">
        <f t="shared" si="41"/>
        <v>176.51805794924266</v>
      </c>
      <c r="CH8">
        <f t="shared" si="42"/>
        <v>78.469030984054925</v>
      </c>
      <c r="CI8">
        <f t="shared" si="43"/>
        <v>110.6561529032814</v>
      </c>
      <c r="CJ8">
        <f t="shared" si="44"/>
        <v>149.29560893046269</v>
      </c>
      <c r="CK8">
        <f t="shared" si="45"/>
        <v>78.257299749550285</v>
      </c>
      <c r="CL8">
        <f t="shared" si="46"/>
        <v>72.747210535850172</v>
      </c>
      <c r="CM8">
        <f t="shared" si="47"/>
        <v>49.05210616668942</v>
      </c>
      <c r="CN8">
        <f t="shared" si="48"/>
        <v>47.793117907734057</v>
      </c>
      <c r="CO8">
        <f t="shared" si="49"/>
        <v>588.8390921204782</v>
      </c>
      <c r="CP8">
        <f t="shared" si="50"/>
        <v>411.82889633872986</v>
      </c>
      <c r="CQ8">
        <f t="shared" si="51"/>
        <v>132.70562301356216</v>
      </c>
      <c r="CR8">
        <f t="shared" si="52"/>
        <v>17.841759797411356</v>
      </c>
      <c r="CS8">
        <f t="shared" si="53"/>
        <v>34.764991026811479</v>
      </c>
      <c r="CT8">
        <f t="shared" si="54"/>
        <v>33.366618385408003</v>
      </c>
      <c r="CU8">
        <f t="shared" si="55"/>
        <v>0</v>
      </c>
      <c r="CV8">
        <f t="shared" si="56"/>
        <v>3.2680695145630998</v>
      </c>
      <c r="CW8">
        <f t="shared" si="57"/>
        <v>-0.2903891278577847</v>
      </c>
      <c r="CX8">
        <f t="shared" si="58"/>
        <v>-502.20658777571867</v>
      </c>
      <c r="CY8">
        <f t="shared" si="59"/>
        <v>5.4657960000000001</v>
      </c>
      <c r="CZ8">
        <f t="shared" si="60"/>
        <v>4.9468319999999997</v>
      </c>
      <c r="DA8">
        <v>8973.1272698205594</v>
      </c>
      <c r="DB8">
        <f t="shared" si="61"/>
        <v>1583918.9994001151</v>
      </c>
      <c r="DC8">
        <f t="shared" si="62"/>
        <v>704112.60175941768</v>
      </c>
      <c r="DD8">
        <f t="shared" si="63"/>
        <v>992931.7431898677</v>
      </c>
      <c r="DE8">
        <f t="shared" si="64"/>
        <v>1339648.4997584007</v>
      </c>
      <c r="DF8">
        <f t="shared" si="65"/>
        <v>702212.71044521127</v>
      </c>
      <c r="DG8">
        <f t="shared" si="66"/>
        <v>652769.97866261471</v>
      </c>
      <c r="DH8">
        <f t="shared" si="67"/>
        <v>440150.79148645408</v>
      </c>
      <c r="DI8">
        <f t="shared" si="68"/>
        <v>428853.7296076378</v>
      </c>
      <c r="DK8" t="s">
        <v>54</v>
      </c>
      <c r="DL8">
        <v>17025742.399484888</v>
      </c>
      <c r="DM8">
        <v>6962.7752745373964</v>
      </c>
      <c r="DN8">
        <v>62809696.777270302</v>
      </c>
      <c r="DO8">
        <f t="shared" si="69"/>
        <v>3.6891017908958026</v>
      </c>
    </row>
    <row r="9" spans="1:119" x14ac:dyDescent="0.3">
      <c r="A9" s="1">
        <v>45328</v>
      </c>
      <c r="B9">
        <v>6</v>
      </c>
      <c r="C9">
        <v>0</v>
      </c>
      <c r="D9">
        <v>4.85436893203883E-2</v>
      </c>
      <c r="E9">
        <v>0.66312265824079497</v>
      </c>
      <c r="F9">
        <v>0.74851074817110097</v>
      </c>
      <c r="G9">
        <v>0.99310760257058595</v>
      </c>
      <c r="H9">
        <v>0.99005463203672905</v>
      </c>
      <c r="I9">
        <v>0.78243985906472202</v>
      </c>
      <c r="J9">
        <v>6.9443211035278896E-2</v>
      </c>
      <c r="K9">
        <v>9.3962241134236599</v>
      </c>
      <c r="L9">
        <v>1.00190401968105</v>
      </c>
      <c r="M9">
        <v>4.0435185209529703</v>
      </c>
      <c r="N9">
        <v>5.0682774883405601</v>
      </c>
      <c r="O9">
        <v>1.1068928832603799</v>
      </c>
      <c r="P9">
        <v>1.26402261114437</v>
      </c>
      <c r="Q9">
        <v>1.9342509774093499</v>
      </c>
      <c r="R9">
        <v>0.119896884917486</v>
      </c>
      <c r="S9">
        <v>1.7805182082205</v>
      </c>
      <c r="T9">
        <v>1.4852326310002999</v>
      </c>
      <c r="U9">
        <v>14</v>
      </c>
      <c r="V9">
        <v>131</v>
      </c>
      <c r="W9">
        <v>1721</v>
      </c>
      <c r="X9">
        <v>8937.9684231352694</v>
      </c>
      <c r="Y9">
        <f t="shared" si="8"/>
        <v>15382243.656215798</v>
      </c>
      <c r="Z9">
        <f t="shared" si="70"/>
        <v>9.9820365787701331</v>
      </c>
      <c r="AA9">
        <f t="shared" si="9"/>
        <v>6.4525528266613392</v>
      </c>
      <c r="AB9">
        <f t="shared" si="9"/>
        <v>2.7099565738269629</v>
      </c>
      <c r="AC9">
        <f t="shared" si="9"/>
        <v>2.3784068619068268</v>
      </c>
      <c r="AD9">
        <f t="shared" si="9"/>
        <v>2.9236837864777243</v>
      </c>
      <c r="AE9">
        <f t="shared" si="9"/>
        <v>1.0434039133638284</v>
      </c>
      <c r="AF9">
        <f t="shared" si="9"/>
        <v>3.7317527942844908</v>
      </c>
      <c r="AG9">
        <f t="shared" si="9"/>
        <v>2.6831769644606798</v>
      </c>
      <c r="AH9">
        <f t="shared" si="4"/>
        <v>14.752361412031716</v>
      </c>
      <c r="AI9">
        <f t="shared" si="5"/>
        <v>6.9687240579263854</v>
      </c>
      <c r="AJ9">
        <f t="shared" si="5"/>
        <v>4.6296050148216619</v>
      </c>
      <c r="AK9">
        <f t="shared" si="5"/>
        <v>3.6948385064954095</v>
      </c>
      <c r="AL9">
        <f t="shared" si="5"/>
        <v>2.5944664113759068</v>
      </c>
      <c r="AM9">
        <f t="shared" si="5"/>
        <v>2.3895751703221002</v>
      </c>
      <c r="AN9">
        <f t="shared" si="5"/>
        <v>6.5870344778956778</v>
      </c>
      <c r="AO9">
        <f t="shared" si="5"/>
        <v>3.6424813908642166</v>
      </c>
      <c r="AP9">
        <f t="shared" si="10"/>
        <v>0.34864839449247653</v>
      </c>
      <c r="AQ9">
        <f t="shared" si="11"/>
        <v>0.47309131660516629</v>
      </c>
      <c r="AR9">
        <f t="shared" si="12"/>
        <v>0.32673763800648392</v>
      </c>
      <c r="AS9">
        <f t="shared" si="13"/>
        <v>0.36571768539486532</v>
      </c>
      <c r="AT9">
        <f t="shared" si="14"/>
        <v>0.53726313012012816</v>
      </c>
      <c r="AU9">
        <f t="shared" si="15"/>
        <v>0.22392450267059782</v>
      </c>
      <c r="AV9">
        <f t="shared" si="16"/>
        <v>0.29894267987948736</v>
      </c>
      <c r="AW9">
        <f t="shared" si="17"/>
        <v>0.3982778560527836</v>
      </c>
      <c r="AY9" t="s">
        <v>55</v>
      </c>
      <c r="AZ9">
        <v>122.513845</v>
      </c>
      <c r="BC9">
        <f t="shared" si="18"/>
        <v>63.48297420354195</v>
      </c>
      <c r="BD9">
        <f t="shared" si="19"/>
        <v>58.86726677544199</v>
      </c>
      <c r="BE9">
        <f t="shared" si="20"/>
        <v>35.65387277611557</v>
      </c>
      <c r="BF9">
        <f t="shared" si="21"/>
        <v>26.431154044622986</v>
      </c>
      <c r="BG9">
        <f t="shared" si="22"/>
        <v>12.563961157645421</v>
      </c>
      <c r="BH9">
        <f t="shared" si="23"/>
        <v>27.43385181188771</v>
      </c>
      <c r="BI9">
        <f t="shared" si="24"/>
        <v>27.610537535927257</v>
      </c>
      <c r="BJ9">
        <f t="shared" si="25"/>
        <v>39.994623402623155</v>
      </c>
      <c r="BK9">
        <f t="shared" si="26"/>
        <v>3.5752976041979947</v>
      </c>
      <c r="BL9">
        <f t="shared" si="27"/>
        <v>-1.7471959417229215</v>
      </c>
      <c r="BM9">
        <f t="shared" si="28"/>
        <v>15.231306051054123</v>
      </c>
      <c r="BN9">
        <f t="shared" si="29"/>
        <v>0.20975516334196889</v>
      </c>
      <c r="BO9">
        <f t="shared" si="30"/>
        <v>3.2364928112359741</v>
      </c>
      <c r="BP9">
        <f t="shared" si="31"/>
        <v>-18.855505961400013</v>
      </c>
      <c r="BQ9">
        <f t="shared" si="32"/>
        <v>0</v>
      </c>
      <c r="BR9">
        <f t="shared" si="33"/>
        <v>6.1192896601941689</v>
      </c>
      <c r="BS9">
        <f t="shared" si="34"/>
        <v>0.91788894496801698</v>
      </c>
      <c r="BT9">
        <f t="shared" si="35"/>
        <v>-1.02913877664804</v>
      </c>
      <c r="BU9">
        <f t="shared" si="36"/>
        <v>145.44406000000001</v>
      </c>
      <c r="BV9">
        <f t="shared" si="37"/>
        <v>-60.626285999999993</v>
      </c>
      <c r="BW9">
        <f t="shared" si="38"/>
        <v>292.03824170780604</v>
      </c>
      <c r="BX9">
        <f t="shared" si="39"/>
        <v>1492.7252096314514</v>
      </c>
      <c r="BY9">
        <f t="shared" si="40"/>
        <v>1721</v>
      </c>
      <c r="BZ9">
        <v>1784.7634492756099</v>
      </c>
      <c r="CB9" t="s">
        <v>55</v>
      </c>
      <c r="CC9">
        <v>179.79854599999999</v>
      </c>
      <c r="CD9">
        <v>1739.77121363011</v>
      </c>
      <c r="CG9">
        <f t="shared" si="41"/>
        <v>178.09275691796915</v>
      </c>
      <c r="CH9">
        <f t="shared" si="42"/>
        <v>172.3005056427053</v>
      </c>
      <c r="CI9">
        <f t="shared" si="43"/>
        <v>87.65614266713159</v>
      </c>
      <c r="CJ9">
        <f t="shared" si="44"/>
        <v>108.8369852250963</v>
      </c>
      <c r="CK9">
        <f t="shared" si="45"/>
        <v>79.81277453669793</v>
      </c>
      <c r="CL9">
        <f t="shared" si="46"/>
        <v>40.261299993946601</v>
      </c>
      <c r="CM9">
        <f t="shared" si="47"/>
        <v>67.931391389618213</v>
      </c>
      <c r="CN9">
        <f t="shared" si="48"/>
        <v>57.144866560389922</v>
      </c>
      <c r="CO9">
        <f t="shared" si="49"/>
        <v>586.53188051635937</v>
      </c>
      <c r="CP9">
        <f t="shared" si="50"/>
        <v>409.6846007964707</v>
      </c>
      <c r="CQ9">
        <f t="shared" si="51"/>
        <v>132.08243322397897</v>
      </c>
      <c r="CR9">
        <f t="shared" si="52"/>
        <v>30.470705325165333</v>
      </c>
      <c r="CS9">
        <f t="shared" si="53"/>
        <v>40.582439582942463</v>
      </c>
      <c r="CT9">
        <f t="shared" si="54"/>
        <v>30.347220069109596</v>
      </c>
      <c r="CU9">
        <f t="shared" si="55"/>
        <v>0</v>
      </c>
      <c r="CV9">
        <f t="shared" si="56"/>
        <v>4.0850868932038793</v>
      </c>
      <c r="CW9">
        <f t="shared" si="57"/>
        <v>-0.38003968049153336</v>
      </c>
      <c r="CX9">
        <f t="shared" si="58"/>
        <v>-502.97395534835539</v>
      </c>
      <c r="CY9">
        <f t="shared" si="59"/>
        <v>5.774349</v>
      </c>
      <c r="CZ9">
        <f t="shared" si="60"/>
        <v>5.7713039999999998</v>
      </c>
      <c r="DA9">
        <v>8937.9684231352694</v>
      </c>
      <c r="DB9">
        <f t="shared" ref="DB9:DB72" si="71">CG9*$DA9</f>
        <v>1591787.4377219137</v>
      </c>
      <c r="DC9">
        <f t="shared" ref="DC9:DC72" si="72">CH9*$DA9</f>
        <v>1540016.4787247402</v>
      </c>
      <c r="DD9">
        <f t="shared" ref="DD9:DD72" si="73">CI9*$DA9</f>
        <v>783467.83525266231</v>
      </c>
      <c r="DE9">
        <f t="shared" ref="DE9:DE72" si="74">CJ9*$DA9</f>
        <v>972781.53721115063</v>
      </c>
      <c r="DF9">
        <f t="shared" ref="DF9:DF72" si="75">CK9*$DA9</f>
        <v>713364.05857182073</v>
      </c>
      <c r="DG9">
        <f t="shared" ref="DG9:DG72" si="76">CL9*$DA9</f>
        <v>359854.22802027094</v>
      </c>
      <c r="DH9">
        <f t="shared" ref="DH9:DH72" si="77">CM9*$DA9</f>
        <v>607168.63118005067</v>
      </c>
      <c r="DI9">
        <f t="shared" ref="DI9:DI72" si="78">CN9*$DA9</f>
        <v>510759.01286104368</v>
      </c>
      <c r="DK9" t="s">
        <v>55</v>
      </c>
      <c r="DL9">
        <v>13855632.404816749</v>
      </c>
      <c r="DM9">
        <v>8803.7706258706239</v>
      </c>
      <c r="DN9">
        <v>79510089.054874733</v>
      </c>
      <c r="DO9">
        <f t="shared" si="69"/>
        <v>5.7384669809249544</v>
      </c>
    </row>
    <row r="10" spans="1:119" x14ac:dyDescent="0.3">
      <c r="A10" s="1">
        <v>45335</v>
      </c>
      <c r="B10">
        <v>7</v>
      </c>
      <c r="C10">
        <v>0</v>
      </c>
      <c r="D10">
        <v>5.8252427184466E-2</v>
      </c>
      <c r="E10">
        <v>0.74851074817110097</v>
      </c>
      <c r="F10">
        <v>0.66312265824079497</v>
      </c>
      <c r="G10">
        <v>0.99349112378008797</v>
      </c>
      <c r="H10">
        <v>0.99135790296736603</v>
      </c>
      <c r="I10">
        <v>0.78546113313404997</v>
      </c>
      <c r="J10">
        <v>1.1996134951975299E-2</v>
      </c>
      <c r="K10">
        <v>14.7033770363012</v>
      </c>
      <c r="L10">
        <v>1.00344931278578</v>
      </c>
      <c r="M10">
        <v>2.7960151116673599</v>
      </c>
      <c r="N10">
        <v>3.2310383622105099</v>
      </c>
      <c r="O10">
        <v>1.38076172260856</v>
      </c>
      <c r="P10">
        <v>4.89307615275332</v>
      </c>
      <c r="Q10">
        <v>4.1110898259505904</v>
      </c>
      <c r="R10">
        <v>0.31467458533312598</v>
      </c>
      <c r="S10">
        <v>1.5215905761150199</v>
      </c>
      <c r="T10">
        <v>3.1904636215789699</v>
      </c>
      <c r="U10">
        <v>9</v>
      </c>
      <c r="V10">
        <v>119</v>
      </c>
      <c r="W10">
        <v>1827</v>
      </c>
      <c r="X10">
        <v>8941.4201140207897</v>
      </c>
      <c r="Y10">
        <f t="shared" si="8"/>
        <v>16335974.548315983</v>
      </c>
      <c r="Z10">
        <f t="shared" si="70"/>
        <v>8.7852370589294395</v>
      </c>
      <c r="AA10">
        <f t="shared" si="9"/>
        <v>6.4573147755411799</v>
      </c>
      <c r="AB10">
        <f t="shared" si="9"/>
        <v>2.6002421808306933</v>
      </c>
      <c r="AC10">
        <f t="shared" si="9"/>
        <v>5.6065982113253678</v>
      </c>
      <c r="AD10">
        <f t="shared" si="9"/>
        <v>5.1343791512177939</v>
      </c>
      <c r="AE10">
        <f t="shared" si="9"/>
        <v>0.83637654201504019</v>
      </c>
      <c r="AF10">
        <f t="shared" si="9"/>
        <v>4.133817532114163</v>
      </c>
      <c r="AG10">
        <f t="shared" si="9"/>
        <v>4.666210952032344</v>
      </c>
      <c r="AH10">
        <f t="shared" si="4"/>
        <v>14.752361412031716</v>
      </c>
      <c r="AI10">
        <f t="shared" si="5"/>
        <v>6.9687240579263854</v>
      </c>
      <c r="AJ10">
        <f t="shared" si="5"/>
        <v>4.6296050148216619</v>
      </c>
      <c r="AK10">
        <f t="shared" si="5"/>
        <v>3.6948385064954095</v>
      </c>
      <c r="AL10">
        <f t="shared" si="5"/>
        <v>2.5944664113759068</v>
      </c>
      <c r="AM10">
        <f t="shared" si="5"/>
        <v>2.3895751703221002</v>
      </c>
      <c r="AN10">
        <f t="shared" si="5"/>
        <v>6.5870344778956778</v>
      </c>
      <c r="AO10">
        <f t="shared" si="5"/>
        <v>3.6424813908642166</v>
      </c>
      <c r="AP10">
        <f t="shared" si="10"/>
        <v>0.3037870241523466</v>
      </c>
      <c r="AQ10">
        <f t="shared" si="11"/>
        <v>0.47334877873372316</v>
      </c>
      <c r="AR10">
        <f t="shared" si="12"/>
        <v>0.31458495222956034</v>
      </c>
      <c r="AS10">
        <f t="shared" si="13"/>
        <v>0.62744214721905756</v>
      </c>
      <c r="AT10">
        <f t="shared" si="14"/>
        <v>0.70124271312998387</v>
      </c>
      <c r="AU10">
        <f t="shared" si="15"/>
        <v>0.17154911639714412</v>
      </c>
      <c r="AV10">
        <f t="shared" si="16"/>
        <v>0.33206660751103267</v>
      </c>
      <c r="AW10">
        <f t="shared" si="17"/>
        <v>0.58282253033483855</v>
      </c>
      <c r="AY10" t="s">
        <v>56</v>
      </c>
      <c r="AZ10">
        <v>92.360641000000001</v>
      </c>
      <c r="BC10">
        <f t="shared" si="18"/>
        <v>55.314477629267699</v>
      </c>
      <c r="BD10">
        <f t="shared" si="19"/>
        <v>58.899303067959657</v>
      </c>
      <c r="BE10">
        <f t="shared" si="20"/>
        <v>34.327761969836359</v>
      </c>
      <c r="BF10">
        <f t="shared" si="21"/>
        <v>45.346508275447931</v>
      </c>
      <c r="BG10">
        <f t="shared" si="22"/>
        <v>16.39864289194211</v>
      </c>
      <c r="BH10">
        <f t="shared" si="23"/>
        <v>21.017141856166674</v>
      </c>
      <c r="BI10">
        <f t="shared" si="24"/>
        <v>30.669884724414391</v>
      </c>
      <c r="BJ10">
        <f t="shared" si="25"/>
        <v>58.526396225796056</v>
      </c>
      <c r="BK10">
        <f t="shared" si="26"/>
        <v>3.5766783231230566</v>
      </c>
      <c r="BL10">
        <f t="shared" si="27"/>
        <v>-1.7494958851879503</v>
      </c>
      <c r="BM10">
        <f t="shared" si="28"/>
        <v>15.290119453107865</v>
      </c>
      <c r="BN10">
        <f t="shared" si="29"/>
        <v>3.623466151422005E-2</v>
      </c>
      <c r="BO10">
        <f t="shared" si="30"/>
        <v>3.6532451809374695</v>
      </c>
      <c r="BP10">
        <f t="shared" si="31"/>
        <v>-16.704520631333104</v>
      </c>
      <c r="BQ10">
        <f t="shared" si="32"/>
        <v>0</v>
      </c>
      <c r="BR10">
        <f t="shared" si="33"/>
        <v>7.3431475922330076</v>
      </c>
      <c r="BS10">
        <f t="shared" si="34"/>
        <v>1.4363287925451553</v>
      </c>
      <c r="BT10">
        <f t="shared" si="35"/>
        <v>-1.0307260754552359</v>
      </c>
      <c r="BU10">
        <f t="shared" si="36"/>
        <v>132.12093999999999</v>
      </c>
      <c r="BV10">
        <f t="shared" si="37"/>
        <v>-38.974041</v>
      </c>
      <c r="BW10">
        <f t="shared" si="38"/>
        <v>320.50011664083087</v>
      </c>
      <c r="BX10">
        <f t="shared" si="39"/>
        <v>1505.2471564877146</v>
      </c>
      <c r="BY10">
        <f t="shared" si="40"/>
        <v>1827</v>
      </c>
      <c r="BZ10">
        <v>1825.7472706501101</v>
      </c>
      <c r="CB10" t="s">
        <v>56</v>
      </c>
      <c r="CC10">
        <v>227.23885200000001</v>
      </c>
      <c r="CD10">
        <v>1815.5952826092901</v>
      </c>
      <c r="CG10">
        <f t="shared" si="41"/>
        <v>155.17716272852235</v>
      </c>
      <c r="CH10">
        <f t="shared" si="42"/>
        <v>172.39427370264883</v>
      </c>
      <c r="CI10">
        <f t="shared" si="43"/>
        <v>84.395858468622166</v>
      </c>
      <c r="CJ10">
        <f t="shared" si="44"/>
        <v>186.72575714448084</v>
      </c>
      <c r="CK10">
        <f t="shared" si="45"/>
        <v>104.1726547400185</v>
      </c>
      <c r="CL10">
        <f t="shared" si="46"/>
        <v>30.84428169579127</v>
      </c>
      <c r="CM10">
        <f t="shared" si="47"/>
        <v>75.458434678341646</v>
      </c>
      <c r="CN10">
        <f t="shared" si="48"/>
        <v>83.623317787367071</v>
      </c>
      <c r="CO10">
        <f t="shared" si="49"/>
        <v>586.75838911990331</v>
      </c>
      <c r="CP10">
        <f t="shared" si="50"/>
        <v>410.22389429974868</v>
      </c>
      <c r="CQ10">
        <f t="shared" si="51"/>
        <v>132.59244971392408</v>
      </c>
      <c r="CR10">
        <f t="shared" si="52"/>
        <v>5.2637354712306861</v>
      </c>
      <c r="CS10">
        <f t="shared" si="53"/>
        <v>45.808104786258717</v>
      </c>
      <c r="CT10">
        <f t="shared" si="54"/>
        <v>26.885290948215292</v>
      </c>
      <c r="CU10">
        <f t="shared" si="55"/>
        <v>0</v>
      </c>
      <c r="CV10">
        <f t="shared" si="56"/>
        <v>4.9021042718446584</v>
      </c>
      <c r="CW10">
        <f t="shared" si="57"/>
        <v>-0.59469278761023836</v>
      </c>
      <c r="CX10">
        <f t="shared" si="58"/>
        <v>-503.74972046137088</v>
      </c>
      <c r="CY10">
        <f t="shared" si="59"/>
        <v>5.2454010000000002</v>
      </c>
      <c r="CZ10">
        <f t="shared" si="60"/>
        <v>3.710124</v>
      </c>
      <c r="DA10">
        <v>8941.4201140207897</v>
      </c>
      <c r="DB10">
        <f t="shared" si="71"/>
        <v>1387504.204057487</v>
      </c>
      <c r="DC10">
        <f t="shared" si="72"/>
        <v>1541449.6264268695</v>
      </c>
      <c r="DD10">
        <f t="shared" si="73"/>
        <v>754618.82645139005</v>
      </c>
      <c r="DE10">
        <f t="shared" si="74"/>
        <v>1669593.4407374221</v>
      </c>
      <c r="DF10">
        <f t="shared" si="75"/>
        <v>931451.47042334464</v>
      </c>
      <c r="DG10">
        <f t="shared" si="76"/>
        <v>275791.68075727136</v>
      </c>
      <c r="DH10">
        <f t="shared" si="77"/>
        <v>674705.56560544786</v>
      </c>
      <c r="DI10">
        <f t="shared" si="78"/>
        <v>747711.21566511644</v>
      </c>
      <c r="DK10" t="s">
        <v>56</v>
      </c>
      <c r="DL10">
        <v>22009421.819875352</v>
      </c>
      <c r="DM10">
        <v>11488.3632635628</v>
      </c>
      <c r="DN10">
        <v>103662119.36826864</v>
      </c>
      <c r="DO10">
        <f t="shared" si="69"/>
        <v>4.7098974346821674</v>
      </c>
    </row>
    <row r="11" spans="1:119" x14ac:dyDescent="0.3">
      <c r="A11" s="1">
        <v>45342</v>
      </c>
      <c r="B11">
        <v>8</v>
      </c>
      <c r="C11">
        <v>0</v>
      </c>
      <c r="D11">
        <v>6.7961165048543604E-2</v>
      </c>
      <c r="E11">
        <v>0.82298386589365602</v>
      </c>
      <c r="F11">
        <v>0.56806474673115503</v>
      </c>
      <c r="G11">
        <v>0.99254239600305705</v>
      </c>
      <c r="H11">
        <v>0.99207110977436297</v>
      </c>
      <c r="I11">
        <v>0.80022175301032705</v>
      </c>
      <c r="J11">
        <v>4.8813429877034402E-2</v>
      </c>
      <c r="K11">
        <v>0.61633231140262601</v>
      </c>
      <c r="L11">
        <v>1.00372539953268</v>
      </c>
      <c r="M11">
        <v>4.4890412151009702</v>
      </c>
      <c r="N11">
        <v>2.2152209196040298</v>
      </c>
      <c r="O11">
        <v>1.25800859039862</v>
      </c>
      <c r="P11">
        <v>1.2846168122530699</v>
      </c>
      <c r="Q11">
        <v>1.67911421272593</v>
      </c>
      <c r="R11">
        <v>0.91114744140182902</v>
      </c>
      <c r="S11">
        <v>0.48766464157506101</v>
      </c>
      <c r="T11">
        <v>0.58945969768088702</v>
      </c>
      <c r="U11">
        <v>9</v>
      </c>
      <c r="V11">
        <v>151</v>
      </c>
      <c r="W11">
        <v>1754</v>
      </c>
      <c r="X11">
        <v>8932.8815640275097</v>
      </c>
      <c r="Y11">
        <f t="shared" si="8"/>
        <v>15668274.263304252</v>
      </c>
      <c r="Z11">
        <f t="shared" si="70"/>
        <v>9.7601834504586336</v>
      </c>
      <c r="AA11">
        <f t="shared" si="9"/>
        <v>5.4438783073746198</v>
      </c>
      <c r="AB11">
        <f t="shared" si="9"/>
        <v>2.4281175717724319</v>
      </c>
      <c r="AC11">
        <f t="shared" si="9"/>
        <v>2.9665962756506801</v>
      </c>
      <c r="AD11">
        <f t="shared" si="9"/>
        <v>3.4761469156521576</v>
      </c>
      <c r="AE11">
        <f t="shared" si="9"/>
        <v>1.3293357124093492</v>
      </c>
      <c r="AF11">
        <f t="shared" si="9"/>
        <v>3.3813369140549749</v>
      </c>
      <c r="AG11">
        <f t="shared" si="9"/>
        <v>3.1558757212986763</v>
      </c>
      <c r="AH11">
        <f t="shared" si="4"/>
        <v>14.752361412031716</v>
      </c>
      <c r="AI11">
        <f t="shared" si="5"/>
        <v>6.9687240579263854</v>
      </c>
      <c r="AJ11">
        <f t="shared" si="5"/>
        <v>4.6296050148216619</v>
      </c>
      <c r="AK11">
        <f t="shared" si="5"/>
        <v>3.6948385064954095</v>
      </c>
      <c r="AL11">
        <f t="shared" si="5"/>
        <v>2.5944664113759068</v>
      </c>
      <c r="AM11">
        <f t="shared" si="5"/>
        <v>2.3895751703221002</v>
      </c>
      <c r="AN11">
        <f t="shared" si="5"/>
        <v>6.5870344778956778</v>
      </c>
      <c r="AO11">
        <f t="shared" si="5"/>
        <v>3.6424813908642166</v>
      </c>
      <c r="AP11">
        <f t="shared" si="10"/>
        <v>0.34052687934652714</v>
      </c>
      <c r="AQ11">
        <f t="shared" si="11"/>
        <v>0.41442152296464907</v>
      </c>
      <c r="AR11">
        <f t="shared" si="12"/>
        <v>0.29499851227503943</v>
      </c>
      <c r="AS11">
        <f t="shared" si="13"/>
        <v>0.4318267352585054</v>
      </c>
      <c r="AT11">
        <f t="shared" si="14"/>
        <v>0.59041458181569373</v>
      </c>
      <c r="AU11">
        <f t="shared" si="15"/>
        <v>0.29324940787208631</v>
      </c>
      <c r="AV11">
        <f t="shared" si="16"/>
        <v>0.26889264202749696</v>
      </c>
      <c r="AW11">
        <f t="shared" si="17"/>
        <v>0.4517533775089469</v>
      </c>
      <c r="AY11" t="s">
        <v>57</v>
      </c>
      <c r="AZ11">
        <v>100.418898</v>
      </c>
      <c r="BC11">
        <f t="shared" si="18"/>
        <v>62.004183695257808</v>
      </c>
      <c r="BD11">
        <f t="shared" si="19"/>
        <v>51.566920578686748</v>
      </c>
      <c r="BE11">
        <f t="shared" si="20"/>
        <v>32.190473953260636</v>
      </c>
      <c r="BF11">
        <f t="shared" si="21"/>
        <v>31.208988288003731</v>
      </c>
      <c r="BG11">
        <f t="shared" si="22"/>
        <v>13.806914074266071</v>
      </c>
      <c r="BH11">
        <f t="shared" si="23"/>
        <v>35.927112502382563</v>
      </c>
      <c r="BI11">
        <f t="shared" si="24"/>
        <v>24.835096777843159</v>
      </c>
      <c r="BJ11">
        <f t="shared" si="25"/>
        <v>45.364576337226431</v>
      </c>
      <c r="BK11">
        <f t="shared" si="26"/>
        <v>3.573262797816962</v>
      </c>
      <c r="BL11">
        <f t="shared" si="27"/>
        <v>-1.7507545147609778</v>
      </c>
      <c r="BM11">
        <f t="shared" si="28"/>
        <v>15.577455938122302</v>
      </c>
      <c r="BN11">
        <f t="shared" si="29"/>
        <v>0.14744233171961899</v>
      </c>
      <c r="BO11">
        <f t="shared" si="30"/>
        <v>4.0167250095091784</v>
      </c>
      <c r="BP11">
        <f t="shared" si="31"/>
        <v>-14.309945775156775</v>
      </c>
      <c r="BQ11">
        <f t="shared" si="32"/>
        <v>0</v>
      </c>
      <c r="BR11">
        <f t="shared" si="33"/>
        <v>8.567005524271833</v>
      </c>
      <c r="BS11">
        <f t="shared" si="34"/>
        <v>6.0207654503988323E-2</v>
      </c>
      <c r="BT11">
        <f t="shared" si="35"/>
        <v>-1.0310096670681768</v>
      </c>
      <c r="BU11">
        <f t="shared" si="36"/>
        <v>167.64926</v>
      </c>
      <c r="BV11">
        <f t="shared" si="37"/>
        <v>-38.974041</v>
      </c>
      <c r="BW11">
        <f t="shared" si="38"/>
        <v>296.9042662069271</v>
      </c>
      <c r="BX11">
        <f t="shared" si="39"/>
        <v>1543.7748543751879</v>
      </c>
      <c r="BY11">
        <f t="shared" si="40"/>
        <v>1754</v>
      </c>
      <c r="BZ11">
        <v>1840.6791214218899</v>
      </c>
      <c r="CB11" t="s">
        <v>57</v>
      </c>
      <c r="CC11">
        <v>143.47989899999999</v>
      </c>
      <c r="CD11">
        <v>1743.4315515257099</v>
      </c>
      <c r="CG11">
        <f t="shared" si="41"/>
        <v>173.94421344109855</v>
      </c>
      <c r="CH11">
        <f t="shared" si="42"/>
        <v>150.93288642121166</v>
      </c>
      <c r="CI11">
        <f t="shared" si="43"/>
        <v>79.141270152841344</v>
      </c>
      <c r="CJ11">
        <f t="shared" si="44"/>
        <v>128.51093037621905</v>
      </c>
      <c r="CK11">
        <f t="shared" si="45"/>
        <v>87.708653841737615</v>
      </c>
      <c r="CL11">
        <f t="shared" si="46"/>
        <v>52.725817150762069</v>
      </c>
      <c r="CM11">
        <f t="shared" si="47"/>
        <v>61.102855285575366</v>
      </c>
      <c r="CN11">
        <f t="shared" si="48"/>
        <v>64.817528977892565</v>
      </c>
      <c r="CO11">
        <f t="shared" si="49"/>
        <v>586.19806807743043</v>
      </c>
      <c r="CP11">
        <f t="shared" si="50"/>
        <v>410.51901927220479</v>
      </c>
      <c r="CQ11">
        <f t="shared" si="51"/>
        <v>135.08416657441654</v>
      </c>
      <c r="CR11">
        <f t="shared" si="52"/>
        <v>21.418647201352925</v>
      </c>
      <c r="CS11">
        <f t="shared" si="53"/>
        <v>50.365784670922658</v>
      </c>
      <c r="CT11">
        <f t="shared" si="54"/>
        <v>23.031313744893197</v>
      </c>
      <c r="CU11">
        <f t="shared" si="55"/>
        <v>0</v>
      </c>
      <c r="CV11">
        <f t="shared" si="56"/>
        <v>5.7191216504854294</v>
      </c>
      <c r="CW11">
        <f t="shared" si="57"/>
        <v>-2.4928176666990612E-2</v>
      </c>
      <c r="CX11">
        <f t="shared" si="58"/>
        <v>-503.88832100631311</v>
      </c>
      <c r="CY11">
        <f t="shared" si="59"/>
        <v>6.6559290000000004</v>
      </c>
      <c r="CZ11">
        <f t="shared" si="60"/>
        <v>3.710124</v>
      </c>
      <c r="DA11">
        <v>8932.8815640275097</v>
      </c>
      <c r="DB11">
        <f t="shared" si="71"/>
        <v>1553823.0574172554</v>
      </c>
      <c r="DC11">
        <f t="shared" si="72"/>
        <v>1348265.5985174996</v>
      </c>
      <c r="DD11">
        <f t="shared" si="73"/>
        <v>706959.59310203709</v>
      </c>
      <c r="DE11">
        <f t="shared" si="74"/>
        <v>1147972.9207337501</v>
      </c>
      <c r="DF11">
        <f t="shared" si="75"/>
        <v>783491.01690852852</v>
      </c>
      <c r="DG11">
        <f t="shared" si="76"/>
        <v>470993.47997432796</v>
      </c>
      <c r="DH11">
        <f t="shared" si="77"/>
        <v>545824.56948995707</v>
      </c>
      <c r="DI11">
        <f t="shared" si="78"/>
        <v>579007.30963243532</v>
      </c>
      <c r="DK11" t="s">
        <v>57</v>
      </c>
      <c r="DL11">
        <v>16462472.484124862</v>
      </c>
      <c r="DM11">
        <v>6823.6235717715681</v>
      </c>
      <c r="DN11">
        <v>61618527.520064034</v>
      </c>
      <c r="DO11">
        <f t="shared" si="69"/>
        <v>3.7429692034100093</v>
      </c>
    </row>
    <row r="12" spans="1:119" x14ac:dyDescent="0.3">
      <c r="A12" s="1">
        <v>45349</v>
      </c>
      <c r="B12">
        <v>9</v>
      </c>
      <c r="C12">
        <v>0</v>
      </c>
      <c r="D12">
        <v>7.7669902912621297E-2</v>
      </c>
      <c r="E12">
        <v>0.88545602565320902</v>
      </c>
      <c r="F12">
        <v>0.46472317204376801</v>
      </c>
      <c r="G12">
        <v>0.99249199253054399</v>
      </c>
      <c r="H12">
        <v>0.99028865990727299</v>
      </c>
      <c r="I12">
        <v>0.79703163980693204</v>
      </c>
      <c r="J12">
        <v>8.2773125974860806E-2</v>
      </c>
      <c r="K12">
        <v>18.5915593334676</v>
      </c>
      <c r="L12">
        <v>1.0051693858914099</v>
      </c>
      <c r="M12">
        <v>2.8836839126874798</v>
      </c>
      <c r="N12">
        <v>1.37071027700573</v>
      </c>
      <c r="O12">
        <v>3.0870249409057702</v>
      </c>
      <c r="P12">
        <v>2.0976273432578001</v>
      </c>
      <c r="Q12">
        <v>2.83458420753895</v>
      </c>
      <c r="R12">
        <v>0.23806998489193101</v>
      </c>
      <c r="S12">
        <v>3.37053671326355</v>
      </c>
      <c r="T12">
        <v>1.30257883260231</v>
      </c>
      <c r="U12">
        <v>12</v>
      </c>
      <c r="V12">
        <v>118</v>
      </c>
      <c r="W12">
        <v>1723</v>
      </c>
      <c r="X12">
        <v>8932.4279327748991</v>
      </c>
      <c r="Y12">
        <f t="shared" si="8"/>
        <v>15390573.328171151</v>
      </c>
      <c r="Z12">
        <f t="shared" si="70"/>
        <v>8.7397939829626594</v>
      </c>
      <c r="AA12">
        <f t="shared" si="9"/>
        <v>4.0926494306930401</v>
      </c>
      <c r="AB12">
        <f t="shared" si="9"/>
        <v>4.1796778482033643</v>
      </c>
      <c r="AC12">
        <f t="shared" si="9"/>
        <v>2.9876062259530043</v>
      </c>
      <c r="AD12">
        <f t="shared" si="9"/>
        <v>4.0512356280172046</v>
      </c>
      <c r="AE12">
        <f t="shared" si="9"/>
        <v>0.9027378410966056</v>
      </c>
      <c r="AF12">
        <f t="shared" si="9"/>
        <v>5.7374725531020321</v>
      </c>
      <c r="AG12">
        <f t="shared" si="9"/>
        <v>3.038310479316582</v>
      </c>
      <c r="AH12">
        <f t="shared" si="4"/>
        <v>14.752361412031716</v>
      </c>
      <c r="AI12">
        <f t="shared" si="5"/>
        <v>6.9687240579263854</v>
      </c>
      <c r="AJ12">
        <f t="shared" si="5"/>
        <v>4.6296050148216619</v>
      </c>
      <c r="AK12">
        <f t="shared" si="5"/>
        <v>3.6948385064954095</v>
      </c>
      <c r="AL12">
        <f t="shared" si="5"/>
        <v>2.5944664113759068</v>
      </c>
      <c r="AM12">
        <f t="shared" si="5"/>
        <v>2.3895751703221002</v>
      </c>
      <c r="AN12">
        <f t="shared" si="5"/>
        <v>6.5870344778956778</v>
      </c>
      <c r="AO12">
        <f t="shared" si="5"/>
        <v>3.6424813908642166</v>
      </c>
      <c r="AP12">
        <f t="shared" si="10"/>
        <v>0.30203491075337702</v>
      </c>
      <c r="AQ12">
        <f t="shared" si="11"/>
        <v>0.32188218574385502</v>
      </c>
      <c r="AR12">
        <f t="shared" si="12"/>
        <v>0.46554955572034012</v>
      </c>
      <c r="AS12">
        <f t="shared" si="13"/>
        <v>0.43399240385011068</v>
      </c>
      <c r="AT12">
        <f t="shared" si="14"/>
        <v>0.63576999799637657</v>
      </c>
      <c r="AU12">
        <f t="shared" si="15"/>
        <v>0.18844315655697819</v>
      </c>
      <c r="AV12">
        <f t="shared" si="16"/>
        <v>0.44840266538564988</v>
      </c>
      <c r="AW12">
        <f t="shared" si="17"/>
        <v>0.43909375970038256</v>
      </c>
      <c r="AY12" t="s">
        <v>6</v>
      </c>
      <c r="AZ12">
        <v>3.6001110000000001</v>
      </c>
      <c r="BC12">
        <f t="shared" si="18"/>
        <v>54.995447421569828</v>
      </c>
      <c r="BD12">
        <f t="shared" si="19"/>
        <v>40.052150258043788</v>
      </c>
      <c r="BE12">
        <f t="shared" si="20"/>
        <v>50.801140425397648</v>
      </c>
      <c r="BF12">
        <f t="shared" si="21"/>
        <v>31.365505520941255</v>
      </c>
      <c r="BG12">
        <f t="shared" si="22"/>
        <v>14.867555788235032</v>
      </c>
      <c r="BH12">
        <f t="shared" si="23"/>
        <v>23.086895673732361</v>
      </c>
      <c r="BI12">
        <f t="shared" si="24"/>
        <v>41.414757601127135</v>
      </c>
      <c r="BJ12">
        <f t="shared" si="25"/>
        <v>44.093311467789228</v>
      </c>
      <c r="BK12">
        <f t="shared" si="26"/>
        <v>3.5730813397211292</v>
      </c>
      <c r="BL12">
        <f t="shared" si="27"/>
        <v>-1.7476089417053804</v>
      </c>
      <c r="BM12">
        <f t="shared" si="28"/>
        <v>15.515355841897017</v>
      </c>
      <c r="BN12">
        <f t="shared" si="29"/>
        <v>0.25001854465459439</v>
      </c>
      <c r="BO12">
        <f t="shared" si="30"/>
        <v>4.3216319425652321</v>
      </c>
      <c r="BP12">
        <f t="shared" si="31"/>
        <v>-11.706699686387088</v>
      </c>
      <c r="BQ12">
        <f t="shared" si="32"/>
        <v>0</v>
      </c>
      <c r="BR12">
        <f t="shared" si="33"/>
        <v>9.7908634563106709</v>
      </c>
      <c r="BS12">
        <f t="shared" si="34"/>
        <v>1.8161536566084493</v>
      </c>
      <c r="BT12">
        <f t="shared" si="35"/>
        <v>-1.032492905308096</v>
      </c>
      <c r="BU12">
        <f t="shared" si="36"/>
        <v>131.01068000000001</v>
      </c>
      <c r="BV12">
        <f t="shared" si="37"/>
        <v>-51.965387999999997</v>
      </c>
      <c r="BW12">
        <f t="shared" si="38"/>
        <v>300.67676415683627</v>
      </c>
      <c r="BX12">
        <f t="shared" si="39"/>
        <v>1500.0748413245867</v>
      </c>
      <c r="BY12">
        <f t="shared" si="40"/>
        <v>1723</v>
      </c>
      <c r="BZ12">
        <v>1800.7516017483499</v>
      </c>
      <c r="CB12" t="s">
        <v>6</v>
      </c>
      <c r="CC12">
        <v>590.60254799999996</v>
      </c>
      <c r="CD12">
        <v>1775.7106886695101</v>
      </c>
      <c r="CG12">
        <f t="shared" si="41"/>
        <v>154.28216733894186</v>
      </c>
      <c r="CH12">
        <f t="shared" si="42"/>
        <v>117.22993302650647</v>
      </c>
      <c r="CI12">
        <f t="shared" si="43"/>
        <v>124.89616599980454</v>
      </c>
      <c r="CJ12">
        <f t="shared" si="44"/>
        <v>129.15542980821263</v>
      </c>
      <c r="CK12">
        <f t="shared" si="45"/>
        <v>94.446398166083029</v>
      </c>
      <c r="CL12">
        <f t="shared" si="46"/>
        <v>33.88180555259504</v>
      </c>
      <c r="CM12">
        <f t="shared" si="47"/>
        <v>101.89450691597521</v>
      </c>
      <c r="CN12">
        <f t="shared" si="48"/>
        <v>63.001128293341154</v>
      </c>
      <c r="CO12">
        <f t="shared" si="49"/>
        <v>586.16829965813622</v>
      </c>
      <c r="CP12">
        <f t="shared" si="50"/>
        <v>409.78144152789764</v>
      </c>
      <c r="CQ12">
        <f t="shared" si="51"/>
        <v>134.54564861769074</v>
      </c>
      <c r="CR12">
        <f t="shared" si="52"/>
        <v>36.319684715348977</v>
      </c>
      <c r="CS12">
        <f t="shared" si="53"/>
        <v>54.189018001214585</v>
      </c>
      <c r="CT12">
        <f t="shared" si="54"/>
        <v>18.841488125168659</v>
      </c>
      <c r="CU12">
        <f t="shared" si="55"/>
        <v>0</v>
      </c>
      <c r="CV12">
        <f t="shared" si="56"/>
        <v>6.5361390291262085</v>
      </c>
      <c r="CW12">
        <f t="shared" si="57"/>
        <v>-0.7519542088014306</v>
      </c>
      <c r="CX12">
        <f t="shared" si="58"/>
        <v>-504.61322829888059</v>
      </c>
      <c r="CY12">
        <f t="shared" si="59"/>
        <v>5.2013220000000002</v>
      </c>
      <c r="CZ12">
        <f t="shared" si="60"/>
        <v>4.9468319999999997</v>
      </c>
      <c r="DA12">
        <v>8932.4279327748991</v>
      </c>
      <c r="DB12">
        <f t="shared" si="71"/>
        <v>1378114.3410674154</v>
      </c>
      <c r="DC12">
        <f t="shared" si="72"/>
        <v>1047147.9283232971</v>
      </c>
      <c r="DD12">
        <f t="shared" si="73"/>
        <v>1115626.0018731446</v>
      </c>
      <c r="DE12">
        <f t="shared" si="74"/>
        <v>1153671.5688884263</v>
      </c>
      <c r="DF12">
        <f t="shared" si="75"/>
        <v>843635.64512870007</v>
      </c>
      <c r="DG12">
        <f t="shared" si="76"/>
        <v>302646.78633084759</v>
      </c>
      <c r="DH12">
        <f t="shared" si="77"/>
        <v>910165.33977258217</v>
      </c>
      <c r="DI12">
        <f t="shared" si="78"/>
        <v>562753.03816377558</v>
      </c>
    </row>
    <row r="13" spans="1:119" x14ac:dyDescent="0.3">
      <c r="A13" s="1">
        <v>45356</v>
      </c>
      <c r="B13">
        <v>10</v>
      </c>
      <c r="C13">
        <v>0</v>
      </c>
      <c r="D13">
        <v>8.7378640776699004E-2</v>
      </c>
      <c r="E13">
        <v>0.93501624268541395</v>
      </c>
      <c r="F13">
        <v>0.35460488704253501</v>
      </c>
      <c r="G13">
        <v>0.98993286074782305</v>
      </c>
      <c r="H13">
        <v>0.98595048634410698</v>
      </c>
      <c r="I13">
        <v>0.80648077719093203</v>
      </c>
      <c r="J13">
        <v>3.63056841335722E-2</v>
      </c>
      <c r="K13">
        <v>1.17033161797283</v>
      </c>
      <c r="L13">
        <v>1.0055783537865599</v>
      </c>
      <c r="M13">
        <v>3.8049017900800899</v>
      </c>
      <c r="N13">
        <v>1.46874959018561</v>
      </c>
      <c r="O13">
        <v>3.12059910322193</v>
      </c>
      <c r="P13">
        <v>1.8728233550383</v>
      </c>
      <c r="Q13">
        <v>0.22715907764648</v>
      </c>
      <c r="R13">
        <v>1.3578931043326901</v>
      </c>
      <c r="S13">
        <v>1.0303450158040199</v>
      </c>
      <c r="T13">
        <v>1.3872245499376601</v>
      </c>
      <c r="U13">
        <v>12</v>
      </c>
      <c r="V13">
        <v>114</v>
      </c>
      <c r="W13">
        <v>1732</v>
      </c>
      <c r="X13">
        <v>8909.3957467304099</v>
      </c>
      <c r="Y13">
        <f t="shared" si="8"/>
        <v>15431073.43333707</v>
      </c>
      <c r="Z13">
        <f t="shared" si="70"/>
        <v>9.0487781798576847</v>
      </c>
      <c r="AA13">
        <f t="shared" si="9"/>
        <v>3.5150743055321301</v>
      </c>
      <c r="AB13">
        <f t="shared" si="9"/>
        <v>5.0014541349134438</v>
      </c>
      <c r="AC13">
        <f t="shared" si="9"/>
        <v>2.7691052228242015</v>
      </c>
      <c r="AD13">
        <f t="shared" si="9"/>
        <v>1.6450915474525016</v>
      </c>
      <c r="AE13">
        <f t="shared" si="9"/>
        <v>1.8092620248809927</v>
      </c>
      <c r="AF13">
        <f t="shared" si="9"/>
        <v>5.0465758029754424</v>
      </c>
      <c r="AG13">
        <f t="shared" si="9"/>
        <v>3.0582953135617803</v>
      </c>
      <c r="AH13">
        <f t="shared" si="4"/>
        <v>14.752361412031716</v>
      </c>
      <c r="AI13">
        <f t="shared" si="5"/>
        <v>6.9687240579263854</v>
      </c>
      <c r="AJ13">
        <f t="shared" si="5"/>
        <v>4.6296050148216619</v>
      </c>
      <c r="AK13">
        <f t="shared" si="5"/>
        <v>3.6948385064954095</v>
      </c>
      <c r="AL13">
        <f t="shared" si="5"/>
        <v>2.5944664113759068</v>
      </c>
      <c r="AM13">
        <f t="shared" si="5"/>
        <v>2.3895751703221002</v>
      </c>
      <c r="AN13">
        <f t="shared" si="5"/>
        <v>6.5870344778956778</v>
      </c>
      <c r="AO13">
        <f t="shared" si="5"/>
        <v>3.6424813908642166</v>
      </c>
      <c r="AP13">
        <f t="shared" si="10"/>
        <v>0.31388092874070322</v>
      </c>
      <c r="AQ13">
        <f t="shared" si="11"/>
        <v>0.27725474521394028</v>
      </c>
      <c r="AR13">
        <f t="shared" si="12"/>
        <v>0.52605067521754223</v>
      </c>
      <c r="AS13">
        <f t="shared" si="13"/>
        <v>0.4108347220186519</v>
      </c>
      <c r="AT13">
        <f t="shared" si="14"/>
        <v>0.36135657875359245</v>
      </c>
      <c r="AU13">
        <f t="shared" si="15"/>
        <v>0.39716425344359824</v>
      </c>
      <c r="AV13">
        <f t="shared" si="16"/>
        <v>0.40141086661462649</v>
      </c>
      <c r="AW13">
        <f t="shared" si="17"/>
        <v>0.44127476455038106</v>
      </c>
      <c r="AY13" t="s">
        <v>7</v>
      </c>
      <c r="AZ13">
        <v>-1.7647470000000001</v>
      </c>
      <c r="BC13">
        <f t="shared" si="18"/>
        <v>57.152406886129619</v>
      </c>
      <c r="BD13">
        <f t="shared" si="19"/>
        <v>34.499109322878638</v>
      </c>
      <c r="BE13">
        <f t="shared" si="20"/>
        <v>57.40307104632906</v>
      </c>
      <c r="BF13">
        <f t="shared" si="21"/>
        <v>29.691853192252839</v>
      </c>
      <c r="BG13">
        <f t="shared" si="22"/>
        <v>8.4503658728724744</v>
      </c>
      <c r="BH13">
        <f t="shared" si="23"/>
        <v>48.658119785929713</v>
      </c>
      <c r="BI13">
        <f t="shared" si="24"/>
        <v>37.074564944892401</v>
      </c>
      <c r="BJ13">
        <f t="shared" si="25"/>
        <v>44.312325571358734</v>
      </c>
      <c r="BK13">
        <f t="shared" si="26"/>
        <v>3.5638681812397062</v>
      </c>
      <c r="BL13">
        <f t="shared" si="27"/>
        <v>-1.7399531629243039</v>
      </c>
      <c r="BM13">
        <f t="shared" si="28"/>
        <v>15.699296756648211</v>
      </c>
      <c r="BN13">
        <f t="shared" si="29"/>
        <v>0.10966233548461057</v>
      </c>
      <c r="BO13">
        <f t="shared" si="30"/>
        <v>4.563519750431059</v>
      </c>
      <c r="BP13">
        <f t="shared" si="31"/>
        <v>-8.9327435549979519</v>
      </c>
      <c r="BQ13">
        <f t="shared" si="32"/>
        <v>0</v>
      </c>
      <c r="BR13">
        <f t="shared" si="33"/>
        <v>11.014721388349511</v>
      </c>
      <c r="BS13">
        <f t="shared" si="34"/>
        <v>0.11432618476491184</v>
      </c>
      <c r="BT13">
        <f t="shared" si="35"/>
        <v>-1.03291299017754</v>
      </c>
      <c r="BU13">
        <f t="shared" si="36"/>
        <v>126.56964000000001</v>
      </c>
      <c r="BV13">
        <f t="shared" si="37"/>
        <v>-51.965387999999997</v>
      </c>
      <c r="BW13">
        <f t="shared" si="38"/>
        <v>317.24181662264346</v>
      </c>
      <c r="BX13">
        <f t="shared" si="39"/>
        <v>1498.2132829650484</v>
      </c>
      <c r="BY13">
        <f t="shared" si="40"/>
        <v>1732</v>
      </c>
      <c r="BZ13">
        <v>1815.45509930956</v>
      </c>
      <c r="CB13" t="s">
        <v>7</v>
      </c>
      <c r="CC13">
        <v>413.79999400000003</v>
      </c>
      <c r="CD13">
        <v>1738.8524714283701</v>
      </c>
      <c r="CG13">
        <f t="shared" si="41"/>
        <v>160.33322059256096</v>
      </c>
      <c r="CH13">
        <f t="shared" si="42"/>
        <v>100.976558045918</v>
      </c>
      <c r="CI13">
        <f t="shared" si="43"/>
        <v>141.1272154574819</v>
      </c>
      <c r="CJ13">
        <f t="shared" si="44"/>
        <v>122.26374155798031</v>
      </c>
      <c r="CK13">
        <f t="shared" si="45"/>
        <v>53.681091313607162</v>
      </c>
      <c r="CL13">
        <f t="shared" si="46"/>
        <v>71.409555292334446</v>
      </c>
      <c r="CM13">
        <f t="shared" si="47"/>
        <v>91.216144509832858</v>
      </c>
      <c r="CN13">
        <f t="shared" si="48"/>
        <v>63.314058648937447</v>
      </c>
      <c r="CO13">
        <f t="shared" si="49"/>
        <v>584.65686990659344</v>
      </c>
      <c r="CP13">
        <f t="shared" si="50"/>
        <v>407.98630533348859</v>
      </c>
      <c r="CQ13">
        <f t="shared" si="51"/>
        <v>136.14074253205015</v>
      </c>
      <c r="CR13">
        <f t="shared" si="52"/>
        <v>15.930424102949406</v>
      </c>
      <c r="CS13">
        <f t="shared" si="53"/>
        <v>57.222053426007193</v>
      </c>
      <c r="CT13">
        <f t="shared" si="54"/>
        <v>14.376911181242859</v>
      </c>
      <c r="CU13">
        <f t="shared" si="55"/>
        <v>0</v>
      </c>
      <c r="CV13">
        <f t="shared" si="56"/>
        <v>7.3531564077669875</v>
      </c>
      <c r="CW13">
        <f t="shared" si="57"/>
        <v>-4.7335232620529084E-2</v>
      </c>
      <c r="CX13">
        <f t="shared" si="58"/>
        <v>-504.81853758579166</v>
      </c>
      <c r="CY13">
        <f t="shared" si="59"/>
        <v>5.0250060000000003</v>
      </c>
      <c r="CZ13">
        <f t="shared" si="60"/>
        <v>4.9468319999999997</v>
      </c>
      <c r="DA13">
        <v>8909.3957467304099</v>
      </c>
      <c r="DB13">
        <f t="shared" si="71"/>
        <v>1428472.1136069512</v>
      </c>
      <c r="DC13">
        <f t="shared" si="72"/>
        <v>899640.11677377811</v>
      </c>
      <c r="DD13">
        <f t="shared" si="73"/>
        <v>1257358.2131447953</v>
      </c>
      <c r="DE13">
        <f t="shared" si="74"/>
        <v>1089296.0590160158</v>
      </c>
      <c r="DF13">
        <f t="shared" si="75"/>
        <v>478266.0866292984</v>
      </c>
      <c r="DG13">
        <f t="shared" si="76"/>
        <v>636215.98819743458</v>
      </c>
      <c r="DH13">
        <f t="shared" si="77"/>
        <v>812680.72992905125</v>
      </c>
      <c r="DI13">
        <f t="shared" si="78"/>
        <v>564090.00483508303</v>
      </c>
    </row>
    <row r="14" spans="1:119" x14ac:dyDescent="0.3">
      <c r="A14" s="1">
        <v>45363</v>
      </c>
      <c r="B14">
        <v>11</v>
      </c>
      <c r="C14">
        <v>0</v>
      </c>
      <c r="D14">
        <v>9.70873786407766E-2</v>
      </c>
      <c r="E14">
        <v>0.97094181742605201</v>
      </c>
      <c r="F14">
        <v>0.23931566428755799</v>
      </c>
      <c r="G14">
        <v>0.99257105467241202</v>
      </c>
      <c r="H14">
        <v>0.98616687486724897</v>
      </c>
      <c r="I14">
        <v>0.79301805000361703</v>
      </c>
      <c r="J14">
        <v>4.8833289760709803E-2</v>
      </c>
      <c r="K14">
        <v>15.9016602312206</v>
      </c>
      <c r="L14">
        <v>1.0047361292463901</v>
      </c>
      <c r="M14">
        <v>6.6896344033491904</v>
      </c>
      <c r="N14">
        <v>4.8061208766255596</v>
      </c>
      <c r="O14">
        <v>5.9082585494320501</v>
      </c>
      <c r="P14">
        <v>1.4448886189100001</v>
      </c>
      <c r="Q14">
        <v>0.85582555189682896</v>
      </c>
      <c r="R14">
        <v>1.0465570227896199</v>
      </c>
      <c r="S14">
        <v>1.30179108245234</v>
      </c>
      <c r="T14">
        <v>2.3108407369367199</v>
      </c>
      <c r="U14">
        <v>12</v>
      </c>
      <c r="V14">
        <v>90</v>
      </c>
      <c r="W14">
        <v>1939</v>
      </c>
      <c r="X14">
        <v>8933.1394920517105</v>
      </c>
      <c r="Y14">
        <f t="shared" si="8"/>
        <v>17321357.475088265</v>
      </c>
      <c r="Z14">
        <f t="shared" si="70"/>
        <v>12.118901311263802</v>
      </c>
      <c r="AA14">
        <f t="shared" si="9"/>
        <v>6.5636580293916245</v>
      </c>
      <c r="AB14">
        <f t="shared" si="9"/>
        <v>8.1589129101430995</v>
      </c>
      <c r="AC14">
        <f t="shared" si="9"/>
        <v>2.2756201857572607</v>
      </c>
      <c r="AD14">
        <f t="shared" si="9"/>
        <v>1.4316075935052046</v>
      </c>
      <c r="AE14">
        <f t="shared" si="9"/>
        <v>1.9511880352301163</v>
      </c>
      <c r="AF14">
        <f t="shared" si="9"/>
        <v>4.8343941445351497</v>
      </c>
      <c r="AG14">
        <f t="shared" si="9"/>
        <v>3.9929031593956994</v>
      </c>
      <c r="AH14">
        <f t="shared" si="4"/>
        <v>14.752361412031716</v>
      </c>
      <c r="AI14">
        <f t="shared" si="5"/>
        <v>6.9687240579263854</v>
      </c>
      <c r="AJ14">
        <f t="shared" si="5"/>
        <v>4.6296050148216619</v>
      </c>
      <c r="AK14">
        <f t="shared" si="5"/>
        <v>3.6948385064954095</v>
      </c>
      <c r="AL14">
        <f t="shared" si="5"/>
        <v>2.5944664113759068</v>
      </c>
      <c r="AM14">
        <f t="shared" si="5"/>
        <v>2.3895751703221002</v>
      </c>
      <c r="AN14">
        <f t="shared" si="5"/>
        <v>6.5870344778956778</v>
      </c>
      <c r="AO14">
        <f t="shared" si="5"/>
        <v>3.6424813908642166</v>
      </c>
      <c r="AP14">
        <f t="shared" si="10"/>
        <v>0.42198770925422591</v>
      </c>
      <c r="AQ14">
        <f t="shared" si="11"/>
        <v>0.47905284272322457</v>
      </c>
      <c r="AR14">
        <f t="shared" si="12"/>
        <v>0.68243032007986038</v>
      </c>
      <c r="AS14">
        <f t="shared" si="13"/>
        <v>0.35300524357248236</v>
      </c>
      <c r="AT14">
        <f t="shared" si="14"/>
        <v>0.32229854451649459</v>
      </c>
      <c r="AU14">
        <f t="shared" si="15"/>
        <v>0.42457609640761462</v>
      </c>
      <c r="AV14">
        <f t="shared" si="16"/>
        <v>0.38603233143879206</v>
      </c>
      <c r="AW14">
        <f t="shared" si="17"/>
        <v>0.53096086855269575</v>
      </c>
      <c r="AY14" t="s">
        <v>8</v>
      </c>
      <c r="AZ14">
        <v>19.466424</v>
      </c>
      <c r="BC14">
        <f t="shared" si="18"/>
        <v>76.836822667129368</v>
      </c>
      <c r="BD14">
        <f t="shared" si="19"/>
        <v>59.609065950490873</v>
      </c>
      <c r="BE14">
        <f t="shared" si="20"/>
        <v>74.467343153800755</v>
      </c>
      <c r="BF14">
        <f t="shared" si="21"/>
        <v>25.512400258549096</v>
      </c>
      <c r="BG14">
        <f t="shared" si="22"/>
        <v>7.5369891724479343</v>
      </c>
      <c r="BH14">
        <f t="shared" si="23"/>
        <v>52.016450065987556</v>
      </c>
      <c r="BI14">
        <f t="shared" si="24"/>
        <v>35.654193578411288</v>
      </c>
      <c r="BJ14">
        <f t="shared" si="25"/>
        <v>53.318505301184558</v>
      </c>
      <c r="BK14">
        <f t="shared" si="26"/>
        <v>3.573365972207752</v>
      </c>
      <c r="BL14">
        <f t="shared" si="27"/>
        <v>-1.740335033921353</v>
      </c>
      <c r="BM14">
        <f t="shared" si="28"/>
        <v>15.437225601023611</v>
      </c>
      <c r="BN14">
        <f t="shared" si="29"/>
        <v>0.14750231905433728</v>
      </c>
      <c r="BO14">
        <f t="shared" si="30"/>
        <v>4.7388611641840708</v>
      </c>
      <c r="BP14">
        <f t="shared" si="31"/>
        <v>-6.0285279077902656</v>
      </c>
      <c r="BQ14">
        <f t="shared" si="32"/>
        <v>0</v>
      </c>
      <c r="BR14">
        <f t="shared" si="33"/>
        <v>12.238579320388338</v>
      </c>
      <c r="BS14">
        <f t="shared" si="34"/>
        <v>1.5533854830072467</v>
      </c>
      <c r="BT14">
        <f t="shared" si="35"/>
        <v>-1.0320478714476946</v>
      </c>
      <c r="BU14">
        <f t="shared" si="36"/>
        <v>99.923400000000001</v>
      </c>
      <c r="BV14">
        <f t="shared" si="37"/>
        <v>-51.965387999999997</v>
      </c>
      <c r="BW14">
        <f t="shared" si="38"/>
        <v>384.95177014800151</v>
      </c>
      <c r="BX14">
        <f t="shared" si="39"/>
        <v>1477.0952671229361</v>
      </c>
      <c r="BY14">
        <f t="shared" si="40"/>
        <v>1939</v>
      </c>
      <c r="BZ14">
        <v>1862.0470335605</v>
      </c>
      <c r="CB14" t="s">
        <v>8</v>
      </c>
      <c r="CC14">
        <v>168.80841599999999</v>
      </c>
      <c r="CD14">
        <v>1902.79500711623</v>
      </c>
      <c r="CG14">
        <f t="shared" si="41"/>
        <v>215.55514298576588</v>
      </c>
      <c r="CH14">
        <f t="shared" si="42"/>
        <v>174.47170162219291</v>
      </c>
      <c r="CI14">
        <f t="shared" si="43"/>
        <v>183.08025320336509</v>
      </c>
      <c r="CJ14">
        <f t="shared" si="44"/>
        <v>105.05378332359751</v>
      </c>
      <c r="CK14">
        <f t="shared" si="45"/>
        <v>47.878850464295375</v>
      </c>
      <c r="CL14">
        <f t="shared" si="46"/>
        <v>76.338164800444929</v>
      </c>
      <c r="CM14">
        <f t="shared" si="47"/>
        <v>87.721543831034623</v>
      </c>
      <c r="CN14">
        <f t="shared" si="48"/>
        <v>76.182211792893057</v>
      </c>
      <c r="CO14">
        <f t="shared" si="49"/>
        <v>586.21499396057379</v>
      </c>
      <c r="CP14">
        <f t="shared" si="50"/>
        <v>408.07584690306641</v>
      </c>
      <c r="CQ14">
        <f t="shared" si="51"/>
        <v>133.86812088051937</v>
      </c>
      <c r="CR14">
        <f t="shared" si="52"/>
        <v>21.427361439278325</v>
      </c>
      <c r="CS14">
        <f t="shared" si="53"/>
        <v>59.420662459006053</v>
      </c>
      <c r="CT14">
        <f t="shared" si="54"/>
        <v>9.7026864983100225</v>
      </c>
      <c r="CU14">
        <f t="shared" si="55"/>
        <v>0</v>
      </c>
      <c r="CV14">
        <f t="shared" si="56"/>
        <v>8.1701737864077586</v>
      </c>
      <c r="CW14">
        <f t="shared" si="57"/>
        <v>-0.64315854971194841</v>
      </c>
      <c r="CX14">
        <f t="shared" si="58"/>
        <v>-504.39572561983556</v>
      </c>
      <c r="CY14">
        <f t="shared" si="59"/>
        <v>3.9671099999999999</v>
      </c>
      <c r="CZ14">
        <f t="shared" si="60"/>
        <v>4.9468319999999997</v>
      </c>
      <c r="DA14">
        <v>8933.1394920517105</v>
      </c>
      <c r="DB14">
        <f t="shared" si="71"/>
        <v>1925584.1605209985</v>
      </c>
      <c r="DC14">
        <f t="shared" si="72"/>
        <v>1558580.048006674</v>
      </c>
      <c r="DD14">
        <f t="shared" si="73"/>
        <v>1635481.4401058073</v>
      </c>
      <c r="DE14">
        <f t="shared" si="74"/>
        <v>938460.1005974724</v>
      </c>
      <c r="DF14">
        <f t="shared" si="75"/>
        <v>427708.44991663541</v>
      </c>
      <c r="DG14">
        <f t="shared" si="76"/>
        <v>681939.47472960642</v>
      </c>
      <c r="DH14">
        <f t="shared" si="77"/>
        <v>783628.78750076052</v>
      </c>
      <c r="DI14">
        <f t="shared" si="78"/>
        <v>680546.32475894049</v>
      </c>
    </row>
    <row r="15" spans="1:119" x14ac:dyDescent="0.3">
      <c r="A15" s="1">
        <v>45370</v>
      </c>
      <c r="B15">
        <v>12</v>
      </c>
      <c r="C15">
        <v>0</v>
      </c>
      <c r="D15">
        <v>0.106796116504854</v>
      </c>
      <c r="E15">
        <v>0.99270887409805397</v>
      </c>
      <c r="F15">
        <v>0.12053668025532301</v>
      </c>
      <c r="G15">
        <v>0.99490443047869903</v>
      </c>
      <c r="H15">
        <v>0.98457839674005798</v>
      </c>
      <c r="I15">
        <v>0.78905999135902105</v>
      </c>
      <c r="J15">
        <v>3.9659343999331E-2</v>
      </c>
      <c r="K15">
        <v>12.130033391668899</v>
      </c>
      <c r="L15">
        <v>1.0057828545048899</v>
      </c>
      <c r="M15">
        <v>6.3909435462698596</v>
      </c>
      <c r="N15">
        <v>1.71755923950981</v>
      </c>
      <c r="O15">
        <v>1.35686041297294</v>
      </c>
      <c r="P15">
        <v>3.5833632320895599</v>
      </c>
      <c r="Q15">
        <v>2.1017362342393202</v>
      </c>
      <c r="R15">
        <v>1.4194512457135999</v>
      </c>
      <c r="S15">
        <v>2.2840602404247901</v>
      </c>
      <c r="T15">
        <v>0.53577206213914497</v>
      </c>
      <c r="U15">
        <v>12</v>
      </c>
      <c r="V15">
        <v>120</v>
      </c>
      <c r="W15">
        <v>1943</v>
      </c>
      <c r="X15">
        <v>8954.13987430829</v>
      </c>
      <c r="Y15">
        <f t="shared" si="8"/>
        <v>17397893.775781009</v>
      </c>
      <c r="Z15">
        <f t="shared" si="70"/>
        <v>13.66228433302814</v>
      </c>
      <c r="AA15">
        <f t="shared" si="9"/>
        <v>4.9993882542056225</v>
      </c>
      <c r="AB15">
        <f t="shared" si="9"/>
        <v>5.0283712225373343</v>
      </c>
      <c r="AC15">
        <f t="shared" si="9"/>
        <v>4.2660492878167382</v>
      </c>
      <c r="AD15">
        <f t="shared" si="9"/>
        <v>2.6027988919661418</v>
      </c>
      <c r="AE15">
        <f t="shared" si="9"/>
        <v>2.3950452633286581</v>
      </c>
      <c r="AF15">
        <f t="shared" si="9"/>
        <v>5.6681361415993941</v>
      </c>
      <c r="AG15">
        <f t="shared" si="9"/>
        <v>2.7318687998067799</v>
      </c>
      <c r="AH15">
        <f t="shared" si="4"/>
        <v>14.752361412031716</v>
      </c>
      <c r="AI15">
        <f t="shared" si="5"/>
        <v>6.9687240579263854</v>
      </c>
      <c r="AJ15">
        <f t="shared" si="5"/>
        <v>4.6296050148216619</v>
      </c>
      <c r="AK15">
        <f t="shared" si="5"/>
        <v>3.6948385064954095</v>
      </c>
      <c r="AL15">
        <f t="shared" si="5"/>
        <v>2.5944664113759068</v>
      </c>
      <c r="AM15">
        <f t="shared" si="5"/>
        <v>2.3895751703221002</v>
      </c>
      <c r="AN15">
        <f t="shared" si="5"/>
        <v>6.5870344778956778</v>
      </c>
      <c r="AO15">
        <f t="shared" si="5"/>
        <v>3.6424813908642166</v>
      </c>
      <c r="AP15">
        <f t="shared" si="10"/>
        <v>0.46933290331966299</v>
      </c>
      <c r="AQ15">
        <f t="shared" si="11"/>
        <v>0.38580907109176521</v>
      </c>
      <c r="AR15">
        <f t="shared" si="12"/>
        <v>0.52785691383878297</v>
      </c>
      <c r="AS15">
        <f t="shared" si="13"/>
        <v>0.54480180678664625</v>
      </c>
      <c r="AT15">
        <f t="shared" si="14"/>
        <v>0.50100202655724735</v>
      </c>
      <c r="AU15">
        <f t="shared" si="15"/>
        <v>0.5008574488985118</v>
      </c>
      <c r="AV15">
        <f t="shared" si="16"/>
        <v>0.44389616584898173</v>
      </c>
      <c r="AW15">
        <f t="shared" si="17"/>
        <v>0.40411048243548808</v>
      </c>
      <c r="AY15" t="s">
        <v>9</v>
      </c>
      <c r="AZ15">
        <v>3.0205280000000001</v>
      </c>
      <c r="BC15">
        <f t="shared" si="18"/>
        <v>85.457581520452266</v>
      </c>
      <c r="BD15">
        <f t="shared" si="19"/>
        <v>48.006642090408626</v>
      </c>
      <c r="BE15">
        <f t="shared" si="20"/>
        <v>57.600169251475982</v>
      </c>
      <c r="BF15">
        <f t="shared" si="21"/>
        <v>39.373924352111594</v>
      </c>
      <c r="BG15">
        <f t="shared" si="22"/>
        <v>11.715991008278337</v>
      </c>
      <c r="BH15">
        <f t="shared" si="23"/>
        <v>61.361971861447699</v>
      </c>
      <c r="BI15">
        <f t="shared" si="24"/>
        <v>40.998534415254262</v>
      </c>
      <c r="BJ15">
        <f t="shared" si="25"/>
        <v>40.58032931642007</v>
      </c>
      <c r="BK15">
        <f t="shared" si="26"/>
        <v>3.5817663841150997</v>
      </c>
      <c r="BL15">
        <f t="shared" si="27"/>
        <v>-1.7375317719118271</v>
      </c>
      <c r="BM15">
        <f t="shared" si="28"/>
        <v>15.36017635323104</v>
      </c>
      <c r="BN15">
        <f t="shared" si="29"/>
        <v>0.11979215901161126</v>
      </c>
      <c r="BO15">
        <f t="shared" si="30"/>
        <v>4.8450993111772602</v>
      </c>
      <c r="BP15">
        <f t="shared" si="31"/>
        <v>-3.0364027486243641</v>
      </c>
      <c r="BQ15">
        <f t="shared" si="32"/>
        <v>0</v>
      </c>
      <c r="BR15">
        <f t="shared" si="33"/>
        <v>13.462437252427138</v>
      </c>
      <c r="BS15">
        <f t="shared" si="34"/>
        <v>1.1849465719319596</v>
      </c>
      <c r="BT15">
        <f t="shared" si="35"/>
        <v>-1.0331230498388964</v>
      </c>
      <c r="BU15">
        <f t="shared" si="36"/>
        <v>133.2312</v>
      </c>
      <c r="BV15">
        <f t="shared" si="37"/>
        <v>-51.965387999999997</v>
      </c>
      <c r="BW15">
        <f t="shared" si="38"/>
        <v>385.09514381584887</v>
      </c>
      <c r="BX15">
        <f t="shared" si="39"/>
        <v>1514.262218537749</v>
      </c>
      <c r="BY15">
        <f t="shared" si="40"/>
        <v>1943</v>
      </c>
      <c r="BZ15">
        <v>1899.3573597632001</v>
      </c>
      <c r="CB15" t="s">
        <v>9</v>
      </c>
      <c r="CC15">
        <v>438.78595000000001</v>
      </c>
      <c r="CD15">
        <v>1938.1507295758199</v>
      </c>
      <c r="CG15">
        <f t="shared" si="41"/>
        <v>239.73949682512341</v>
      </c>
      <c r="CH15">
        <f t="shared" si="42"/>
        <v>140.51219225004829</v>
      </c>
      <c r="CI15">
        <f t="shared" si="43"/>
        <v>141.61178745610553</v>
      </c>
      <c r="CJ15">
        <f t="shared" si="44"/>
        <v>162.13212694875182</v>
      </c>
      <c r="CK15">
        <f t="shared" si="45"/>
        <v>74.426029902892594</v>
      </c>
      <c r="CL15">
        <f t="shared" si="46"/>
        <v>90.053441065221719</v>
      </c>
      <c r="CM15">
        <f t="shared" si="47"/>
        <v>100.87045513472421</v>
      </c>
      <c r="CN15">
        <f t="shared" si="48"/>
        <v>57.981731204685097</v>
      </c>
      <c r="CO15">
        <f t="shared" si="49"/>
        <v>587.59309165720845</v>
      </c>
      <c r="CP15">
        <f t="shared" si="50"/>
        <v>407.41853466356565</v>
      </c>
      <c r="CQ15">
        <f t="shared" si="51"/>
        <v>133.19996727029002</v>
      </c>
      <c r="CR15">
        <f t="shared" si="52"/>
        <v>17.401962933123251</v>
      </c>
      <c r="CS15">
        <f t="shared" si="53"/>
        <v>60.752784429673561</v>
      </c>
      <c r="CT15">
        <f t="shared" si="54"/>
        <v>4.8869747976845597</v>
      </c>
      <c r="CU15">
        <f t="shared" si="55"/>
        <v>0</v>
      </c>
      <c r="CV15">
        <f t="shared" si="56"/>
        <v>8.9871911650485128</v>
      </c>
      <c r="CW15">
        <f t="shared" si="57"/>
        <v>-0.49061133055944034</v>
      </c>
      <c r="CX15">
        <f t="shared" si="58"/>
        <v>-504.92120064846983</v>
      </c>
      <c r="CY15">
        <f t="shared" si="59"/>
        <v>5.2894800000000002</v>
      </c>
      <c r="CZ15">
        <f t="shared" si="60"/>
        <v>4.9468319999999997</v>
      </c>
      <c r="DA15">
        <v>8954.13987430829</v>
      </c>
      <c r="DB15">
        <f t="shared" si="71"/>
        <v>2146660.9879684434</v>
      </c>
      <c r="DC15">
        <f t="shared" si="72"/>
        <v>1258165.8234526296</v>
      </c>
      <c r="DD15">
        <f t="shared" si="73"/>
        <v>1268011.752732785</v>
      </c>
      <c r="DE15">
        <f t="shared" si="74"/>
        <v>1451753.7428182324</v>
      </c>
      <c r="DF15">
        <f t="shared" si="75"/>
        <v>666421.0820399517</v>
      </c>
      <c r="DG15">
        <f t="shared" si="76"/>
        <v>806351.10746077343</v>
      </c>
      <c r="DH15">
        <f t="shared" si="77"/>
        <v>903208.1644614595</v>
      </c>
      <c r="DI15">
        <f t="shared" si="78"/>
        <v>519176.53136129607</v>
      </c>
    </row>
    <row r="16" spans="1:119" x14ac:dyDescent="0.3">
      <c r="A16" s="1">
        <v>45377</v>
      </c>
      <c r="B16">
        <v>13</v>
      </c>
      <c r="C16">
        <v>0</v>
      </c>
      <c r="D16">
        <v>0.116504854368932</v>
      </c>
      <c r="E16">
        <v>1</v>
      </c>
      <c r="F16" s="2">
        <v>-1.6081226496766299E-16</v>
      </c>
      <c r="G16">
        <v>0.99510252257138199</v>
      </c>
      <c r="H16">
        <v>0.98527642537412197</v>
      </c>
      <c r="I16">
        <v>0.795237139986534</v>
      </c>
      <c r="J16">
        <v>2.9926637884637501E-2</v>
      </c>
      <c r="K16">
        <v>3.7954761421594601</v>
      </c>
      <c r="L16">
        <v>1.0059487741887501</v>
      </c>
      <c r="M16">
        <v>10.8132641431749</v>
      </c>
      <c r="N16">
        <v>0.64298904338916696</v>
      </c>
      <c r="O16">
        <v>1.01822381713354</v>
      </c>
      <c r="P16">
        <v>1.5883664648289999</v>
      </c>
      <c r="Q16">
        <v>3.0978433544485302</v>
      </c>
      <c r="R16">
        <v>0.83209562472741905</v>
      </c>
      <c r="S16">
        <v>2.3658120957294502</v>
      </c>
      <c r="T16">
        <v>0.77709624274965605</v>
      </c>
      <c r="U16">
        <v>10</v>
      </c>
      <c r="V16">
        <v>120</v>
      </c>
      <c r="W16">
        <v>1854</v>
      </c>
      <c r="X16">
        <v>8955.9227031424398</v>
      </c>
      <c r="Y16">
        <f t="shared" si="8"/>
        <v>16604280.691626083</v>
      </c>
      <c r="Z16">
        <f t="shared" si="70"/>
        <v>19.010634742991783</v>
      </c>
      <c r="AA16">
        <f t="shared" si="9"/>
        <v>3.1426831704919782</v>
      </c>
      <c r="AB16">
        <f t="shared" si="9"/>
        <v>3.2809908672753405</v>
      </c>
      <c r="AC16">
        <f t="shared" si="9"/>
        <v>2.868181251174021</v>
      </c>
      <c r="AD16">
        <f t="shared" si="9"/>
        <v>4.0088229666366795</v>
      </c>
      <c r="AE16">
        <f t="shared" si="9"/>
        <v>2.029618256391748</v>
      </c>
      <c r="AF16">
        <f t="shared" si="9"/>
        <v>6.3335073948490255</v>
      </c>
      <c r="AG16">
        <f t="shared" si="9"/>
        <v>2.2796240826433851</v>
      </c>
      <c r="AH16">
        <f t="shared" si="4"/>
        <v>14.752361412031716</v>
      </c>
      <c r="AI16">
        <f t="shared" si="5"/>
        <v>6.9687240579263854</v>
      </c>
      <c r="AJ16">
        <f t="shared" si="5"/>
        <v>4.6296050148216619</v>
      </c>
      <c r="AK16">
        <f t="shared" si="5"/>
        <v>3.6948385064954095</v>
      </c>
      <c r="AL16">
        <f t="shared" si="5"/>
        <v>2.5944664113759068</v>
      </c>
      <c r="AM16">
        <f t="shared" si="5"/>
        <v>2.3895751703221002</v>
      </c>
      <c r="AN16">
        <f t="shared" si="5"/>
        <v>6.5870344778956778</v>
      </c>
      <c r="AO16">
        <f t="shared" si="5"/>
        <v>3.6424813908642166</v>
      </c>
      <c r="AP16">
        <f t="shared" si="10"/>
        <v>0.60006899806370939</v>
      </c>
      <c r="AQ16">
        <f t="shared" si="11"/>
        <v>0.24695901244261936</v>
      </c>
      <c r="AR16">
        <f t="shared" si="12"/>
        <v>0.3858382206884291</v>
      </c>
      <c r="AS16">
        <f t="shared" si="13"/>
        <v>0.42151106002093619</v>
      </c>
      <c r="AT16">
        <f t="shared" si="14"/>
        <v>0.63271826031227629</v>
      </c>
      <c r="AU16">
        <f t="shared" si="15"/>
        <v>0.43907873280192328</v>
      </c>
      <c r="AV16">
        <f t="shared" si="16"/>
        <v>0.48528584843116102</v>
      </c>
      <c r="AW16">
        <f t="shared" si="17"/>
        <v>0.34690226497156124</v>
      </c>
      <c r="AY16" t="s">
        <v>4</v>
      </c>
      <c r="AZ16">
        <v>4.8806849999999997</v>
      </c>
      <c r="BC16">
        <f t="shared" si="18"/>
        <v>109.26241258009223</v>
      </c>
      <c r="BD16">
        <f t="shared" si="19"/>
        <v>30.729378362681654</v>
      </c>
      <c r="BE16">
        <f t="shared" si="20"/>
        <v>42.102975697936152</v>
      </c>
      <c r="BF16">
        <f t="shared" si="21"/>
        <v>30.463453652498998</v>
      </c>
      <c r="BG16">
        <f t="shared" si="22"/>
        <v>14.796190545439039</v>
      </c>
      <c r="BH16">
        <f t="shared" si="23"/>
        <v>53.793223813291249</v>
      </c>
      <c r="BI16">
        <f t="shared" si="24"/>
        <v>44.821312029330876</v>
      </c>
      <c r="BJ16">
        <f t="shared" si="25"/>
        <v>34.835543162148177</v>
      </c>
      <c r="BK16">
        <f t="shared" si="26"/>
        <v>3.5824795376369805</v>
      </c>
      <c r="BL16">
        <f t="shared" si="27"/>
        <v>-1.7387636158497057</v>
      </c>
      <c r="BM16">
        <f t="shared" si="28"/>
        <v>15.480423347525225</v>
      </c>
      <c r="BN16">
        <f t="shared" si="29"/>
        <v>9.0394247676408343E-2</v>
      </c>
      <c r="BO16">
        <f t="shared" si="30"/>
        <v>4.8806849999999997</v>
      </c>
      <c r="BP16">
        <f t="shared" si="31"/>
        <v>4.0509727190595839E-15</v>
      </c>
      <c r="BQ16">
        <f t="shared" si="32"/>
        <v>0</v>
      </c>
      <c r="BR16">
        <f t="shared" si="33"/>
        <v>14.686295184466015</v>
      </c>
      <c r="BS16">
        <f t="shared" si="34"/>
        <v>0.37076867789913115</v>
      </c>
      <c r="BT16">
        <f t="shared" si="35"/>
        <v>-1.0332934797175228</v>
      </c>
      <c r="BU16">
        <f t="shared" si="36"/>
        <v>133.2312</v>
      </c>
      <c r="BV16">
        <f t="shared" si="37"/>
        <v>-43.304490000000001</v>
      </c>
      <c r="BW16">
        <f t="shared" si="38"/>
        <v>360.80448984341837</v>
      </c>
      <c r="BX16">
        <f t="shared" si="39"/>
        <v>1526.4949449758667</v>
      </c>
      <c r="BY16">
        <f t="shared" si="40"/>
        <v>1854</v>
      </c>
      <c r="BZ16">
        <v>1887.2994342955701</v>
      </c>
      <c r="CB16" t="s">
        <v>4</v>
      </c>
      <c r="CC16">
        <v>61.198993999999999</v>
      </c>
      <c r="CD16">
        <v>1882.21108892961</v>
      </c>
      <c r="CG16">
        <f t="shared" si="41"/>
        <v>306.52067783572022</v>
      </c>
      <c r="CH16">
        <f t="shared" si="42"/>
        <v>89.942810665449016</v>
      </c>
      <c r="CI16">
        <f t="shared" si="43"/>
        <v>103.51146052670548</v>
      </c>
      <c r="CJ16">
        <f t="shared" si="44"/>
        <v>125.44100229164748</v>
      </c>
      <c r="CK16">
        <f t="shared" si="45"/>
        <v>93.99304926110274</v>
      </c>
      <c r="CL16">
        <f t="shared" si="46"/>
        <v>78.9457177373083</v>
      </c>
      <c r="CM16">
        <f t="shared" si="47"/>
        <v>110.27579908934304</v>
      </c>
      <c r="CN16">
        <f t="shared" si="48"/>
        <v>49.77350194099084</v>
      </c>
      <c r="CO16">
        <f t="shared" si="49"/>
        <v>587.71008535188571</v>
      </c>
      <c r="CP16">
        <f t="shared" si="50"/>
        <v>407.70737890815315</v>
      </c>
      <c r="CQ16">
        <f t="shared" si="51"/>
        <v>134.24272194549707</v>
      </c>
      <c r="CR16">
        <f t="shared" si="52"/>
        <v>13.131388234516656</v>
      </c>
      <c r="CS16">
        <f t="shared" si="53"/>
        <v>61.198993999999999</v>
      </c>
      <c r="CT16">
        <f t="shared" si="54"/>
        <v>-6.5198865970994359E-15</v>
      </c>
      <c r="CU16">
        <f t="shared" si="55"/>
        <v>0</v>
      </c>
      <c r="CV16">
        <f t="shared" si="56"/>
        <v>9.8042085436893167</v>
      </c>
      <c r="CW16">
        <f t="shared" si="57"/>
        <v>-0.15351182804578153</v>
      </c>
      <c r="CX16">
        <f t="shared" si="58"/>
        <v>-505.00449533341168</v>
      </c>
      <c r="CY16">
        <f t="shared" si="59"/>
        <v>5.2894800000000002</v>
      </c>
      <c r="CZ16">
        <f t="shared" si="60"/>
        <v>4.1223599999999996</v>
      </c>
      <c r="DA16">
        <v>8955.9227031424398</v>
      </c>
      <c r="DB16">
        <f t="shared" si="71"/>
        <v>2745175.4976115362</v>
      </c>
      <c r="DC16">
        <f t="shared" si="72"/>
        <v>805520.86002313683</v>
      </c>
      <c r="DD16">
        <f t="shared" si="73"/>
        <v>927040.6393665541</v>
      </c>
      <c r="DE16">
        <f t="shared" si="74"/>
        <v>1123439.9203287084</v>
      </c>
      <c r="DF16">
        <f t="shared" si="75"/>
        <v>841794.48381509574</v>
      </c>
      <c r="DG16">
        <f t="shared" si="76"/>
        <v>707031.74579943425</v>
      </c>
      <c r="DH16">
        <f t="shared" si="77"/>
        <v>987621.53267142177</v>
      </c>
      <c r="DI16">
        <f t="shared" si="78"/>
        <v>445767.63604822417</v>
      </c>
    </row>
    <row r="17" spans="1:113" x14ac:dyDescent="0.3">
      <c r="A17" s="1">
        <v>45384</v>
      </c>
      <c r="B17">
        <v>14</v>
      </c>
      <c r="C17">
        <v>0</v>
      </c>
      <c r="D17">
        <v>0.12621359223300899</v>
      </c>
      <c r="E17">
        <v>0.99270887409805397</v>
      </c>
      <c r="F17">
        <v>-0.12053668025532201</v>
      </c>
      <c r="G17">
        <v>0.99848424619228604</v>
      </c>
      <c r="H17">
        <v>0.98534198181069199</v>
      </c>
      <c r="I17">
        <v>0.80135700674766297</v>
      </c>
      <c r="J17">
        <v>1.01956245072789E-2</v>
      </c>
      <c r="K17">
        <v>6.5470090060349904</v>
      </c>
      <c r="L17">
        <v>1.0059507839588899</v>
      </c>
      <c r="M17">
        <v>5.4903847908966199</v>
      </c>
      <c r="N17">
        <v>1.3366097244934401</v>
      </c>
      <c r="O17">
        <v>10.287690949639501</v>
      </c>
      <c r="P17">
        <v>2.03961182070557</v>
      </c>
      <c r="Q17">
        <v>1.2087861718213899</v>
      </c>
      <c r="R17">
        <v>1.2090415091586899</v>
      </c>
      <c r="S17">
        <v>3.3625451661622101</v>
      </c>
      <c r="T17">
        <v>0.44304210837494701</v>
      </c>
      <c r="U17">
        <v>12</v>
      </c>
      <c r="V17">
        <v>114</v>
      </c>
      <c r="W17">
        <v>2001</v>
      </c>
      <c r="X17">
        <v>8986.3582157305791</v>
      </c>
      <c r="Y17">
        <f t="shared" si="8"/>
        <v>17981702.78967689</v>
      </c>
      <c r="Z17">
        <f t="shared" si="70"/>
        <v>16.89676563669169</v>
      </c>
      <c r="AA17">
        <f t="shared" si="9"/>
        <v>2.9079513097394294</v>
      </c>
      <c r="AB17">
        <f t="shared" si="9"/>
        <v>11.764136839913403</v>
      </c>
      <c r="AC17">
        <f t="shared" si="9"/>
        <v>2.900066196057776</v>
      </c>
      <c r="AD17">
        <f t="shared" si="9"/>
        <v>2.6118742101442276</v>
      </c>
      <c r="AE17">
        <f t="shared" si="9"/>
        <v>2.2238506373545639</v>
      </c>
      <c r="AF17">
        <f t="shared" si="9"/>
        <v>7.7960003425565274</v>
      </c>
      <c r="AG17">
        <f t="shared" si="9"/>
        <v>1.6968353538288088</v>
      </c>
      <c r="AH17">
        <f t="shared" si="4"/>
        <v>14.752361412031716</v>
      </c>
      <c r="AI17">
        <f t="shared" si="5"/>
        <v>6.9687240579263854</v>
      </c>
      <c r="AJ17">
        <f t="shared" si="5"/>
        <v>4.6296050148216619</v>
      </c>
      <c r="AK17">
        <f t="shared" si="5"/>
        <v>3.6948385064954095</v>
      </c>
      <c r="AL17">
        <f t="shared" si="5"/>
        <v>2.5944664113759068</v>
      </c>
      <c r="AM17">
        <f t="shared" si="5"/>
        <v>2.3895751703221002</v>
      </c>
      <c r="AN17">
        <f t="shared" si="5"/>
        <v>6.5870344778956778</v>
      </c>
      <c r="AO17">
        <f t="shared" si="5"/>
        <v>3.6424813908642166</v>
      </c>
      <c r="AP17">
        <f t="shared" si="10"/>
        <v>0.55407529860210858</v>
      </c>
      <c r="AQ17">
        <f t="shared" si="11"/>
        <v>0.22730763704123205</v>
      </c>
      <c r="AR17">
        <f t="shared" si="12"/>
        <v>0.77885194016149184</v>
      </c>
      <c r="AS17">
        <f t="shared" si="13"/>
        <v>0.42488435759894966</v>
      </c>
      <c r="AT17">
        <f t="shared" si="14"/>
        <v>0.50208973100594112</v>
      </c>
      <c r="AU17">
        <f t="shared" si="15"/>
        <v>0.47307280922883699</v>
      </c>
      <c r="AV17">
        <f t="shared" si="16"/>
        <v>0.56285605168252073</v>
      </c>
      <c r="AW17">
        <f t="shared" si="17"/>
        <v>0.26283888120174148</v>
      </c>
      <c r="AY17" t="s">
        <v>5</v>
      </c>
      <c r="AZ17">
        <v>-25.190695000000002</v>
      </c>
      <c r="BC17">
        <f t="shared" si="18"/>
        <v>100.88773802954222</v>
      </c>
      <c r="BD17">
        <f t="shared" si="19"/>
        <v>28.28413636044197</v>
      </c>
      <c r="BE17">
        <f t="shared" si="20"/>
        <v>84.988947570826056</v>
      </c>
      <c r="BF17">
        <f t="shared" si="21"/>
        <v>30.707248665656653</v>
      </c>
      <c r="BG17">
        <f t="shared" si="22"/>
        <v>11.741427104072461</v>
      </c>
      <c r="BH17">
        <f t="shared" si="23"/>
        <v>57.957968823576309</v>
      </c>
      <c r="BI17">
        <f t="shared" si="24"/>
        <v>51.985745724126744</v>
      </c>
      <c r="BJ17">
        <f t="shared" si="25"/>
        <v>26.393990801831794</v>
      </c>
      <c r="BK17">
        <f t="shared" si="26"/>
        <v>3.5946541180435569</v>
      </c>
      <c r="BL17">
        <f t="shared" si="27"/>
        <v>-1.7388793063744734</v>
      </c>
      <c r="BM17">
        <f t="shared" si="28"/>
        <v>15.599555268720868</v>
      </c>
      <c r="BN17">
        <f t="shared" si="29"/>
        <v>3.0796169301722121E-2</v>
      </c>
      <c r="BO17">
        <f t="shared" si="30"/>
        <v>4.8450993111772602</v>
      </c>
      <c r="BP17">
        <f t="shared" si="31"/>
        <v>3.0364027486243388</v>
      </c>
      <c r="BQ17">
        <f t="shared" si="32"/>
        <v>0</v>
      </c>
      <c r="BR17">
        <f t="shared" si="33"/>
        <v>15.910153116504762</v>
      </c>
      <c r="BS17">
        <f t="shared" si="34"/>
        <v>0.63955766877254006</v>
      </c>
      <c r="BT17">
        <f t="shared" si="35"/>
        <v>-1.0332955441192444</v>
      </c>
      <c r="BU17">
        <f t="shared" si="36"/>
        <v>126.56964000000001</v>
      </c>
      <c r="BV17">
        <f t="shared" si="37"/>
        <v>-51.965387999999997</v>
      </c>
      <c r="BW17">
        <f t="shared" si="38"/>
        <v>392.94720308007425</v>
      </c>
      <c r="BX17">
        <f t="shared" si="39"/>
        <v>1515.7375416268815</v>
      </c>
      <c r="BY17">
        <f t="shared" si="40"/>
        <v>2001</v>
      </c>
      <c r="BZ17">
        <v>1908.6847431036999</v>
      </c>
      <c r="CB17" t="s">
        <v>5</v>
      </c>
      <c r="CC17">
        <v>40.543466000000002</v>
      </c>
      <c r="CD17">
        <v>1940.60391687016</v>
      </c>
      <c r="CG17">
        <f t="shared" si="41"/>
        <v>283.02667967778592</v>
      </c>
      <c r="CH17">
        <f t="shared" si="42"/>
        <v>82.785752821879456</v>
      </c>
      <c r="CI17">
        <f t="shared" si="43"/>
        <v>208.9479412286538</v>
      </c>
      <c r="CJ17">
        <f t="shared" si="44"/>
        <v>126.44489013552274</v>
      </c>
      <c r="CK17">
        <f t="shared" si="45"/>
        <v>74.587613129172695</v>
      </c>
      <c r="CL17">
        <f t="shared" si="46"/>
        <v>85.057803251480266</v>
      </c>
      <c r="CM17">
        <f t="shared" si="47"/>
        <v>127.90276302558868</v>
      </c>
      <c r="CN17">
        <f t="shared" si="48"/>
        <v>37.712096128098864</v>
      </c>
      <c r="CO17">
        <f t="shared" si="49"/>
        <v>589.70733993902343</v>
      </c>
      <c r="CP17">
        <f t="shared" si="50"/>
        <v>407.73450616121249</v>
      </c>
      <c r="CQ17">
        <f t="shared" si="51"/>
        <v>135.27580695957428</v>
      </c>
      <c r="CR17">
        <f t="shared" si="52"/>
        <v>4.4736967852696541</v>
      </c>
      <c r="CS17">
        <f t="shared" si="53"/>
        <v>60.752784429673561</v>
      </c>
      <c r="CT17">
        <f t="shared" si="54"/>
        <v>-4.8869747976845197</v>
      </c>
      <c r="CU17">
        <f t="shared" si="55"/>
        <v>0</v>
      </c>
      <c r="CV17">
        <f t="shared" si="56"/>
        <v>10.621225922330035</v>
      </c>
      <c r="CW17">
        <f t="shared" si="57"/>
        <v>-0.26480032625809125</v>
      </c>
      <c r="CX17">
        <f t="shared" si="58"/>
        <v>-505.00550427440476</v>
      </c>
      <c r="CY17">
        <f t="shared" si="59"/>
        <v>5.0250060000000003</v>
      </c>
      <c r="CZ17">
        <f t="shared" si="60"/>
        <v>4.9468319999999997</v>
      </c>
      <c r="DA17">
        <v>8986.3582157305791</v>
      </c>
      <c r="DB17">
        <f t="shared" si="71"/>
        <v>2543379.1281934185</v>
      </c>
      <c r="DC17">
        <f t="shared" si="72"/>
        <v>743942.43001633743</v>
      </c>
      <c r="DD17">
        <f t="shared" si="73"/>
        <v>1877681.0483201032</v>
      </c>
      <c r="DE17">
        <f t="shared" si="74"/>
        <v>1136279.0773065053</v>
      </c>
      <c r="DF17">
        <f t="shared" si="75"/>
        <v>670271.01003507501</v>
      </c>
      <c r="DG17">
        <f t="shared" si="76"/>
        <v>764359.88906093489</v>
      </c>
      <c r="DH17">
        <f t="shared" si="77"/>
        <v>1149380.0453296402</v>
      </c>
      <c r="DI17">
        <f t="shared" si="78"/>
        <v>338894.40487316257</v>
      </c>
    </row>
    <row r="18" spans="1:113" x14ac:dyDescent="0.3">
      <c r="A18" s="1">
        <v>45391</v>
      </c>
      <c r="B18">
        <v>15</v>
      </c>
      <c r="C18">
        <v>0</v>
      </c>
      <c r="D18">
        <v>0.13592233009708701</v>
      </c>
      <c r="E18">
        <v>0.97094181742605201</v>
      </c>
      <c r="F18">
        <v>-0.23931566428755699</v>
      </c>
      <c r="G18">
        <v>0.99988677421904304</v>
      </c>
      <c r="H18">
        <v>0.99014731848465498</v>
      </c>
      <c r="I18">
        <v>0.80215408309909997</v>
      </c>
      <c r="J18">
        <v>1.52524281691156E-2</v>
      </c>
      <c r="K18">
        <v>18.027823256359</v>
      </c>
      <c r="L18">
        <v>1.00816021431717</v>
      </c>
      <c r="M18">
        <v>4.2425010980014699</v>
      </c>
      <c r="N18">
        <v>3.4827205220867401</v>
      </c>
      <c r="O18">
        <v>4.4688036133753597</v>
      </c>
      <c r="P18">
        <v>4.0029222610472699</v>
      </c>
      <c r="Q18">
        <v>3.4430882087234802</v>
      </c>
      <c r="R18">
        <v>0.602340537732869</v>
      </c>
      <c r="S18">
        <v>1.7204314573375601</v>
      </c>
      <c r="T18">
        <v>1.3285879901155799</v>
      </c>
      <c r="U18">
        <v>6</v>
      </c>
      <c r="V18">
        <v>139</v>
      </c>
      <c r="W18">
        <v>2005</v>
      </c>
      <c r="X18">
        <v>8998.9809679713799</v>
      </c>
      <c r="Y18">
        <f t="shared" si="8"/>
        <v>18042956.840782616</v>
      </c>
      <c r="Z18">
        <f t="shared" si="70"/>
        <v>14.380560480016484</v>
      </c>
      <c r="AA18">
        <f t="shared" si="9"/>
        <v>4.9366961769564544</v>
      </c>
      <c r="AB18">
        <f t="shared" si="9"/>
        <v>9.7626651913363922</v>
      </c>
      <c r="AC18">
        <f t="shared" si="9"/>
        <v>4.8729421198646028</v>
      </c>
      <c r="AD18">
        <f t="shared" si="9"/>
        <v>4.35724418227396</v>
      </c>
      <c r="AE18">
        <f t="shared" si="9"/>
        <v>1.7142658564101509</v>
      </c>
      <c r="AF18">
        <f t="shared" si="9"/>
        <v>7.1776316971271292</v>
      </c>
      <c r="AG18">
        <f t="shared" si="9"/>
        <v>2.2618474347214246</v>
      </c>
      <c r="AH18">
        <f t="shared" si="4"/>
        <v>14.752361412031716</v>
      </c>
      <c r="AI18">
        <f t="shared" si="5"/>
        <v>6.9687240579263854</v>
      </c>
      <c r="AJ18">
        <f t="shared" si="5"/>
        <v>4.6296050148216619</v>
      </c>
      <c r="AK18">
        <f t="shared" si="5"/>
        <v>3.6948385064954095</v>
      </c>
      <c r="AL18">
        <f t="shared" si="5"/>
        <v>2.5944664113759068</v>
      </c>
      <c r="AM18">
        <f t="shared" si="5"/>
        <v>2.3895751703221002</v>
      </c>
      <c r="AN18">
        <f t="shared" si="5"/>
        <v>6.5870344778956778</v>
      </c>
      <c r="AO18">
        <f t="shared" si="5"/>
        <v>3.6424813908642166</v>
      </c>
      <c r="AP18">
        <f t="shared" si="10"/>
        <v>0.48979108388781217</v>
      </c>
      <c r="AQ18">
        <f t="shared" si="11"/>
        <v>0.38163124386217273</v>
      </c>
      <c r="AR18">
        <f t="shared" si="12"/>
        <v>0.7324770672031703</v>
      </c>
      <c r="AS18">
        <f t="shared" si="13"/>
        <v>0.58563543619882652</v>
      </c>
      <c r="AT18">
        <f t="shared" si="14"/>
        <v>0.65657623165646917</v>
      </c>
      <c r="AU18">
        <f t="shared" si="15"/>
        <v>0.37796470427236495</v>
      </c>
      <c r="AV18">
        <f t="shared" si="16"/>
        <v>0.53215539848236548</v>
      </c>
      <c r="AW18">
        <f t="shared" si="17"/>
        <v>0.3445117118452678</v>
      </c>
      <c r="AY18" t="s">
        <v>2</v>
      </c>
      <c r="AZ18">
        <v>-12.446793</v>
      </c>
      <c r="BC18">
        <f t="shared" si="18"/>
        <v>89.182670090413382</v>
      </c>
      <c r="BD18">
        <f t="shared" si="19"/>
        <v>47.48679050693223</v>
      </c>
      <c r="BE18">
        <f t="shared" si="20"/>
        <v>79.928484287340765</v>
      </c>
      <c r="BF18">
        <f t="shared" si="21"/>
        <v>42.325053029493134</v>
      </c>
      <c r="BG18">
        <f t="shared" si="22"/>
        <v>15.354111996705637</v>
      </c>
      <c r="BH18">
        <f t="shared" si="23"/>
        <v>46.30590919469536</v>
      </c>
      <c r="BI18">
        <f t="shared" si="24"/>
        <v>49.150213715441701</v>
      </c>
      <c r="BJ18">
        <f t="shared" si="25"/>
        <v>34.595486451595342</v>
      </c>
      <c r="BK18">
        <f t="shared" si="26"/>
        <v>3.5997033746204932</v>
      </c>
      <c r="BL18">
        <f t="shared" si="27"/>
        <v>-1.7473595098538395</v>
      </c>
      <c r="BM18">
        <f t="shared" si="28"/>
        <v>15.615071494938315</v>
      </c>
      <c r="BN18">
        <f t="shared" si="29"/>
        <v>4.607038635280241E-2</v>
      </c>
      <c r="BO18">
        <f t="shared" si="30"/>
        <v>4.7388611641840708</v>
      </c>
      <c r="BP18">
        <f t="shared" si="31"/>
        <v>6.0285279077902407</v>
      </c>
      <c r="BQ18">
        <f t="shared" si="32"/>
        <v>0</v>
      </c>
      <c r="BR18">
        <f t="shared" si="33"/>
        <v>17.134011048543645</v>
      </c>
      <c r="BS18">
        <f t="shared" si="34"/>
        <v>1.7610839704439416</v>
      </c>
      <c r="BT18">
        <f t="shared" si="35"/>
        <v>-1.0355650334229536</v>
      </c>
      <c r="BU18">
        <f t="shared" si="36"/>
        <v>154.32614000000001</v>
      </c>
      <c r="BV18">
        <f t="shared" si="37"/>
        <v>-25.982693999999999</v>
      </c>
      <c r="BW18">
        <f t="shared" si="38"/>
        <v>404.32871927261749</v>
      </c>
      <c r="BX18">
        <f t="shared" si="39"/>
        <v>1574.7330968798267</v>
      </c>
      <c r="BY18">
        <f t="shared" si="40"/>
        <v>2005</v>
      </c>
      <c r="BZ18">
        <v>1979.06181350003</v>
      </c>
      <c r="CB18" t="s">
        <v>2</v>
      </c>
      <c r="CC18">
        <v>73.717350999999994</v>
      </c>
      <c r="CD18">
        <v>2006.85556917453</v>
      </c>
      <c r="CG18">
        <f t="shared" si="41"/>
        <v>250.18972070815906</v>
      </c>
      <c r="CH18">
        <f t="shared" si="42"/>
        <v>138.9906218494074</v>
      </c>
      <c r="CI18">
        <f t="shared" si="43"/>
        <v>196.50663662411949</v>
      </c>
      <c r="CJ18">
        <f t="shared" si="44"/>
        <v>174.28414829883258</v>
      </c>
      <c r="CK18">
        <f t="shared" si="45"/>
        <v>97.537254662599963</v>
      </c>
      <c r="CL18">
        <f t="shared" si="46"/>
        <v>67.957504267491203</v>
      </c>
      <c r="CM18">
        <f t="shared" si="47"/>
        <v>120.92638183673527</v>
      </c>
      <c r="CN18">
        <f t="shared" si="48"/>
        <v>49.430505619876122</v>
      </c>
      <c r="CO18">
        <f t="shared" si="49"/>
        <v>590.53567656526752</v>
      </c>
      <c r="CP18">
        <f t="shared" si="50"/>
        <v>409.72295444806633</v>
      </c>
      <c r="CQ18">
        <f t="shared" si="51"/>
        <v>135.41036015589142</v>
      </c>
      <c r="CR18">
        <f t="shared" si="52"/>
        <v>6.6925511839921494</v>
      </c>
      <c r="CS18">
        <f t="shared" si="53"/>
        <v>59.420662459006053</v>
      </c>
      <c r="CT18">
        <f t="shared" si="54"/>
        <v>-9.7026864983099816</v>
      </c>
      <c r="CU18">
        <f t="shared" si="55"/>
        <v>0</v>
      </c>
      <c r="CV18">
        <f t="shared" si="56"/>
        <v>11.438243300970843</v>
      </c>
      <c r="CW18">
        <f t="shared" si="57"/>
        <v>-0.72915333942669613</v>
      </c>
      <c r="CX18">
        <f t="shared" si="58"/>
        <v>-506.1146783115791</v>
      </c>
      <c r="CY18">
        <f t="shared" si="59"/>
        <v>6.1269809999999998</v>
      </c>
      <c r="CZ18">
        <f t="shared" si="60"/>
        <v>2.4734159999999998</v>
      </c>
      <c r="DA18">
        <v>8998.9809679713799</v>
      </c>
      <c r="DB18">
        <f t="shared" si="71"/>
        <v>2251452.5350347986</v>
      </c>
      <c r="DC18">
        <f t="shared" si="72"/>
        <v>1250773.9607493242</v>
      </c>
      <c r="DD18">
        <f t="shared" si="73"/>
        <v>1768359.483060519</v>
      </c>
      <c r="DE18">
        <f t="shared" si="74"/>
        <v>1568379.733560296</v>
      </c>
      <c r="DF18">
        <f t="shared" si="75"/>
        <v>877735.89837691479</v>
      </c>
      <c r="DG18">
        <f t="shared" si="76"/>
        <v>611548.2875339872</v>
      </c>
      <c r="DH18">
        <f t="shared" si="77"/>
        <v>1088214.2086744206</v>
      </c>
      <c r="DI18">
        <f t="shared" si="78"/>
        <v>444824.17931046756</v>
      </c>
    </row>
    <row r="19" spans="1:113" x14ac:dyDescent="0.3">
      <c r="A19" s="1">
        <v>45398</v>
      </c>
      <c r="B19">
        <v>16</v>
      </c>
      <c r="C19">
        <v>0</v>
      </c>
      <c r="D19">
        <v>0.14563106796116501</v>
      </c>
      <c r="E19">
        <v>0.93501624268541395</v>
      </c>
      <c r="F19">
        <v>-0.35460488704253501</v>
      </c>
      <c r="G19">
        <v>0.99730889683039303</v>
      </c>
      <c r="H19">
        <v>0.98942925160223605</v>
      </c>
      <c r="I19">
        <v>0.791000779471841</v>
      </c>
      <c r="J19">
        <v>6.0945088244276198E-2</v>
      </c>
      <c r="K19">
        <v>15.1605516691895</v>
      </c>
      <c r="L19">
        <v>1.00448390612436</v>
      </c>
      <c r="M19">
        <v>11.887578373362301</v>
      </c>
      <c r="N19">
        <v>2.9910981596308099</v>
      </c>
      <c r="O19">
        <v>1.18937856970071</v>
      </c>
      <c r="P19">
        <v>2.10392426559826</v>
      </c>
      <c r="Q19">
        <v>0.50588928707110703</v>
      </c>
      <c r="R19">
        <v>1.84318559417049</v>
      </c>
      <c r="S19">
        <v>2.7510090998002901</v>
      </c>
      <c r="T19">
        <v>0.21847417432397001</v>
      </c>
      <c r="U19">
        <v>8</v>
      </c>
      <c r="V19">
        <v>145</v>
      </c>
      <c r="W19">
        <v>2021</v>
      </c>
      <c r="X19">
        <v>8975.7800714735404</v>
      </c>
      <c r="Y19">
        <f t="shared" si="8"/>
        <v>18140051.524448026</v>
      </c>
      <c r="Z19">
        <f t="shared" si="70"/>
        <v>20.515914661372193</v>
      </c>
      <c r="AA19">
        <f t="shared" si="9"/>
        <v>5.4594462481090371</v>
      </c>
      <c r="AB19">
        <f t="shared" si="9"/>
        <v>5.5825779058020872</v>
      </c>
      <c r="AC19">
        <f t="shared" si="9"/>
        <v>3.5658069015576408</v>
      </c>
      <c r="AD19">
        <f t="shared" si="9"/>
        <v>2.0309247508669928</v>
      </c>
      <c r="AE19">
        <f t="shared" si="9"/>
        <v>2.7003185223755652</v>
      </c>
      <c r="AF19">
        <f t="shared" si="9"/>
        <v>7.775351287789281</v>
      </c>
      <c r="AG19">
        <f t="shared" si="9"/>
        <v>1.4624902634207535</v>
      </c>
      <c r="AH19">
        <f t="shared" si="4"/>
        <v>14.752361412031716</v>
      </c>
      <c r="AI19">
        <f t="shared" si="5"/>
        <v>6.9687240579263854</v>
      </c>
      <c r="AJ19">
        <f t="shared" si="5"/>
        <v>4.6296050148216619</v>
      </c>
      <c r="AK19">
        <f t="shared" si="5"/>
        <v>3.6948385064954095</v>
      </c>
      <c r="AL19">
        <f t="shared" si="5"/>
        <v>2.5944664113759068</v>
      </c>
      <c r="AM19">
        <f t="shared" si="5"/>
        <v>2.3895751703221002</v>
      </c>
      <c r="AN19">
        <f t="shared" si="5"/>
        <v>6.5870344778956778</v>
      </c>
      <c r="AO19">
        <f t="shared" si="5"/>
        <v>3.6424813908642166</v>
      </c>
      <c r="AP19">
        <f t="shared" si="10"/>
        <v>0.62894100413485066</v>
      </c>
      <c r="AQ19">
        <f t="shared" si="11"/>
        <v>0.41539204633522703</v>
      </c>
      <c r="AR19">
        <f t="shared" si="12"/>
        <v>0.56283893148018971</v>
      </c>
      <c r="AS19">
        <f t="shared" si="13"/>
        <v>0.48889355242011362</v>
      </c>
      <c r="AT19">
        <f t="shared" si="14"/>
        <v>0.42406402531170356</v>
      </c>
      <c r="AU19">
        <f t="shared" si="15"/>
        <v>0.54571725677191862</v>
      </c>
      <c r="AV19">
        <f t="shared" si="16"/>
        <v>0.56187695580103636</v>
      </c>
      <c r="AW19">
        <f t="shared" si="17"/>
        <v>0.22584764068342625</v>
      </c>
      <c r="AY19" t="s">
        <v>3</v>
      </c>
      <c r="AZ19">
        <v>126.057367</v>
      </c>
      <c r="BC19">
        <f t="shared" si="18"/>
        <v>114.51951642904835</v>
      </c>
      <c r="BD19">
        <f t="shared" si="19"/>
        <v>51.687683856646665</v>
      </c>
      <c r="BE19">
        <f t="shared" si="20"/>
        <v>61.417435037102415</v>
      </c>
      <c r="BF19">
        <f t="shared" si="21"/>
        <v>35.333322153909734</v>
      </c>
      <c r="BG19">
        <f t="shared" si="22"/>
        <v>9.9167868474051506</v>
      </c>
      <c r="BH19">
        <f t="shared" si="23"/>
        <v>66.857919409980042</v>
      </c>
      <c r="BI19">
        <f t="shared" si="24"/>
        <v>51.895315800912385</v>
      </c>
      <c r="BJ19">
        <f t="shared" si="25"/>
        <v>22.679371193329629</v>
      </c>
      <c r="BK19">
        <f t="shared" si="26"/>
        <v>3.5904227298769631</v>
      </c>
      <c r="BL19">
        <f t="shared" si="27"/>
        <v>-1.7460923034772913</v>
      </c>
      <c r="BM19">
        <f t="shared" si="28"/>
        <v>15.397956557529353</v>
      </c>
      <c r="BN19">
        <f t="shared" si="29"/>
        <v>0.18408634550430711</v>
      </c>
      <c r="BO19">
        <f t="shared" si="30"/>
        <v>4.563519750431059</v>
      </c>
      <c r="BP19">
        <f t="shared" si="31"/>
        <v>8.9327435549979519</v>
      </c>
      <c r="BQ19">
        <f t="shared" si="32"/>
        <v>0</v>
      </c>
      <c r="BR19">
        <f t="shared" si="33"/>
        <v>18.35786898058252</v>
      </c>
      <c r="BS19">
        <f t="shared" si="34"/>
        <v>1.4809888109081146</v>
      </c>
      <c r="BT19">
        <f t="shared" si="35"/>
        <v>-1.0317887921445383</v>
      </c>
      <c r="BU19">
        <f t="shared" si="36"/>
        <v>160.98769999999999</v>
      </c>
      <c r="BV19">
        <f t="shared" si="37"/>
        <v>-34.643591999999998</v>
      </c>
      <c r="BW19">
        <f t="shared" si="38"/>
        <v>414.30735072833443</v>
      </c>
      <c r="BX19">
        <f t="shared" si="39"/>
        <v>1576.3230597104384</v>
      </c>
      <c r="BY19">
        <f t="shared" si="40"/>
        <v>2021</v>
      </c>
      <c r="BZ19">
        <v>1990.6304080478501</v>
      </c>
      <c r="CB19" t="s">
        <v>3</v>
      </c>
      <c r="CC19">
        <v>84.152789999999996</v>
      </c>
      <c r="CD19">
        <v>2014.62064141726</v>
      </c>
      <c r="CG19">
        <f t="shared" si="41"/>
        <v>321.26875997287414</v>
      </c>
      <c r="CH19">
        <f t="shared" si="42"/>
        <v>151.28635236239316</v>
      </c>
      <c r="CI19">
        <f t="shared" si="43"/>
        <v>150.99665278067647</v>
      </c>
      <c r="CJ19">
        <f t="shared" si="44"/>
        <v>145.4939218592676</v>
      </c>
      <c r="CK19">
        <f t="shared" si="45"/>
        <v>62.996555214499644</v>
      </c>
      <c r="CL19">
        <f t="shared" si="46"/>
        <v>98.119169294699617</v>
      </c>
      <c r="CM19">
        <f t="shared" si="47"/>
        <v>127.68027440148225</v>
      </c>
      <c r="CN19">
        <f t="shared" si="48"/>
        <v>32.404596674646285</v>
      </c>
      <c r="CO19">
        <f t="shared" si="49"/>
        <v>589.0131756110992</v>
      </c>
      <c r="CP19">
        <f t="shared" si="50"/>
        <v>409.42581837642979</v>
      </c>
      <c r="CQ19">
        <f t="shared" si="51"/>
        <v>133.52758863740678</v>
      </c>
      <c r="CR19">
        <f t="shared" si="52"/>
        <v>26.741848443098565</v>
      </c>
      <c r="CS19">
        <f t="shared" si="53"/>
        <v>57.222053426007193</v>
      </c>
      <c r="CT19">
        <f t="shared" si="54"/>
        <v>-14.376911181242859</v>
      </c>
      <c r="CU19">
        <f t="shared" si="55"/>
        <v>0</v>
      </c>
      <c r="CV19">
        <f t="shared" si="56"/>
        <v>12.255260679611647</v>
      </c>
      <c r="CW19">
        <f t="shared" si="57"/>
        <v>-0.61318367281203856</v>
      </c>
      <c r="CX19">
        <f t="shared" si="58"/>
        <v>-504.26910504658127</v>
      </c>
      <c r="CY19">
        <f t="shared" si="59"/>
        <v>6.3914549999999997</v>
      </c>
      <c r="CZ19">
        <f t="shared" si="60"/>
        <v>3.2978879999999999</v>
      </c>
      <c r="DA19">
        <v>8975.7800714735404</v>
      </c>
      <c r="DB19">
        <f t="shared" si="71"/>
        <v>2883637.7333515398</v>
      </c>
      <c r="DC19">
        <f t="shared" si="72"/>
        <v>1357913.0266202926</v>
      </c>
      <c r="DD19">
        <f t="shared" si="73"/>
        <v>1355312.7468880056</v>
      </c>
      <c r="DE19">
        <f t="shared" si="74"/>
        <v>1305921.4443449427</v>
      </c>
      <c r="DF19">
        <f t="shared" si="75"/>
        <v>565443.22486578848</v>
      </c>
      <c r="DG19">
        <f t="shared" si="76"/>
        <v>880696.08438490331</v>
      </c>
      <c r="DH19">
        <f t="shared" si="77"/>
        <v>1146030.0624930975</v>
      </c>
      <c r="DI19">
        <f t="shared" si="78"/>
        <v>290856.5330564279</v>
      </c>
    </row>
    <row r="20" spans="1:113" x14ac:dyDescent="0.3">
      <c r="A20" s="1">
        <v>45405</v>
      </c>
      <c r="B20">
        <v>17</v>
      </c>
      <c r="C20">
        <v>0</v>
      </c>
      <c r="D20">
        <v>0.15533980582524201</v>
      </c>
      <c r="E20">
        <v>0.88545602565320902</v>
      </c>
      <c r="F20">
        <v>-0.46472317204376801</v>
      </c>
      <c r="G20">
        <v>0.99841514918263996</v>
      </c>
      <c r="H20">
        <v>0.98635875912436999</v>
      </c>
      <c r="I20">
        <v>0.80420586869006505</v>
      </c>
      <c r="J20">
        <v>0.14843653201925999</v>
      </c>
      <c r="K20">
        <v>11.528796533170899</v>
      </c>
      <c r="L20">
        <v>1.0023573798691201</v>
      </c>
      <c r="M20">
        <v>3.5018512452475701</v>
      </c>
      <c r="N20">
        <v>0.95012918281674097</v>
      </c>
      <c r="O20">
        <v>1.54763022960107</v>
      </c>
      <c r="P20">
        <v>0.78570631439302396</v>
      </c>
      <c r="Q20">
        <v>1.6106347739243001</v>
      </c>
      <c r="R20">
        <v>3.63719184199251</v>
      </c>
      <c r="S20">
        <v>3.35450069293067</v>
      </c>
      <c r="T20">
        <v>2.7622484857550398</v>
      </c>
      <c r="U20">
        <v>9</v>
      </c>
      <c r="V20">
        <v>150</v>
      </c>
      <c r="W20">
        <v>1970</v>
      </c>
      <c r="X20">
        <v>8985.7363426437605</v>
      </c>
      <c r="Y20">
        <f t="shared" si="8"/>
        <v>17701900.595008209</v>
      </c>
      <c r="Z20">
        <f t="shared" si="70"/>
        <v>15.811400042070886</v>
      </c>
      <c r="AA20">
        <f t="shared" si="9"/>
        <v>3.6798523068712594</v>
      </c>
      <c r="AB20">
        <f t="shared" si="9"/>
        <v>4.0597902872120093</v>
      </c>
      <c r="AC20">
        <f t="shared" si="9"/>
        <v>1.855448384860316</v>
      </c>
      <c r="AD20">
        <f t="shared" si="9"/>
        <v>2.3214584367277475</v>
      </c>
      <c r="AE20">
        <f t="shared" si="9"/>
        <v>4.9873511031802931</v>
      </c>
      <c r="AF20">
        <f t="shared" si="9"/>
        <v>8.7972465943831661</v>
      </c>
      <c r="AG20">
        <f t="shared" si="9"/>
        <v>3.5666181306364542</v>
      </c>
      <c r="AH20">
        <f t="shared" si="4"/>
        <v>14.752361412031716</v>
      </c>
      <c r="AI20">
        <f t="shared" ref="AI20:AO35" si="79">PERCENTILE(AA$4:AA$107, 0.6)</f>
        <v>6.9687240579263854</v>
      </c>
      <c r="AJ20">
        <f t="shared" si="79"/>
        <v>4.6296050148216619</v>
      </c>
      <c r="AK20">
        <f t="shared" si="79"/>
        <v>3.6948385064954095</v>
      </c>
      <c r="AL20">
        <f t="shared" si="79"/>
        <v>2.5944664113759068</v>
      </c>
      <c r="AM20">
        <f t="shared" si="79"/>
        <v>2.3895751703221002</v>
      </c>
      <c r="AN20">
        <f t="shared" si="79"/>
        <v>6.5870344778956778</v>
      </c>
      <c r="AO20">
        <f t="shared" si="79"/>
        <v>3.6424813908642166</v>
      </c>
      <c r="AP20">
        <f t="shared" si="10"/>
        <v>0.52770281477953662</v>
      </c>
      <c r="AQ20">
        <f t="shared" si="11"/>
        <v>0.29028849037148724</v>
      </c>
      <c r="AR20">
        <f t="shared" si="12"/>
        <v>0.45578843894887561</v>
      </c>
      <c r="AS20">
        <f t="shared" si="13"/>
        <v>0.29712772774451934</v>
      </c>
      <c r="AT20">
        <f t="shared" si="14"/>
        <v>0.46531043001198596</v>
      </c>
      <c r="AU20">
        <f t="shared" si="15"/>
        <v>0.75094973887958349</v>
      </c>
      <c r="AV20">
        <f t="shared" si="16"/>
        <v>0.60682921620292152</v>
      </c>
      <c r="AW20">
        <f t="shared" si="17"/>
        <v>0.49289701219856041</v>
      </c>
      <c r="AY20" t="s">
        <v>10</v>
      </c>
      <c r="AZ20">
        <v>9.7686999999999996E-2</v>
      </c>
      <c r="BC20">
        <f t="shared" si="18"/>
        <v>96.085754895133178</v>
      </c>
      <c r="BD20">
        <f t="shared" si="19"/>
        <v>36.120912400513191</v>
      </c>
      <c r="BE20">
        <f t="shared" si="20"/>
        <v>49.735999544640904</v>
      </c>
      <c r="BF20">
        <f t="shared" si="21"/>
        <v>21.474019596467816</v>
      </c>
      <c r="BG20">
        <f t="shared" si="22"/>
        <v>10.881338847150603</v>
      </c>
      <c r="BH20">
        <f t="shared" si="23"/>
        <v>92.001739911883774</v>
      </c>
      <c r="BI20">
        <f t="shared" si="24"/>
        <v>56.047135386029417</v>
      </c>
      <c r="BJ20">
        <f t="shared" si="25"/>
        <v>49.49617479247199</v>
      </c>
      <c r="BK20">
        <f t="shared" si="26"/>
        <v>3.5944053611390632</v>
      </c>
      <c r="BL20">
        <f t="shared" si="27"/>
        <v>-1.7406736610884546</v>
      </c>
      <c r="BM20">
        <f t="shared" si="28"/>
        <v>15.655012423209131</v>
      </c>
      <c r="BN20">
        <f t="shared" si="29"/>
        <v>0.44835670118707138</v>
      </c>
      <c r="BO20">
        <f t="shared" si="30"/>
        <v>4.3216319425652321</v>
      </c>
      <c r="BP20">
        <f t="shared" si="31"/>
        <v>11.706699686387088</v>
      </c>
      <c r="BQ20">
        <f t="shared" si="32"/>
        <v>0</v>
      </c>
      <c r="BR20">
        <f t="shared" si="33"/>
        <v>19.581726912621271</v>
      </c>
      <c r="BS20">
        <f t="shared" si="34"/>
        <v>1.1262135469358656</v>
      </c>
      <c r="BT20">
        <f t="shared" si="35"/>
        <v>-1.0296044605261023</v>
      </c>
      <c r="BU20">
        <f t="shared" si="36"/>
        <v>166.53900000000002</v>
      </c>
      <c r="BV20">
        <f t="shared" si="37"/>
        <v>-38.974041</v>
      </c>
      <c r="BW20">
        <f t="shared" si="38"/>
        <v>411.84307537429089</v>
      </c>
      <c r="BX20">
        <f t="shared" si="39"/>
        <v>1581.4779735286602</v>
      </c>
      <c r="BY20">
        <f t="shared" si="40"/>
        <v>1970</v>
      </c>
      <c r="BZ20">
        <v>1993.3210472343001</v>
      </c>
      <c r="CB20" t="s">
        <v>10</v>
      </c>
      <c r="CC20">
        <v>-4.0446000000000003E-2</v>
      </c>
      <c r="CD20">
        <v>1958.2833726988299</v>
      </c>
      <c r="CG20">
        <f t="shared" si="41"/>
        <v>269.55537613837515</v>
      </c>
      <c r="CH20">
        <f t="shared" si="42"/>
        <v>105.72346588852746</v>
      </c>
      <c r="CI20">
        <f t="shared" si="43"/>
        <v>122.27748438867945</v>
      </c>
      <c r="CJ20">
        <f t="shared" si="44"/>
        <v>88.424725972934098</v>
      </c>
      <c r="CK20">
        <f t="shared" si="45"/>
        <v>69.123888013340633</v>
      </c>
      <c r="CL20">
        <f t="shared" si="46"/>
        <v>135.01967116962877</v>
      </c>
      <c r="CM20">
        <f t="shared" si="47"/>
        <v>137.89517445001169</v>
      </c>
      <c r="CN20">
        <f t="shared" si="48"/>
        <v>70.720813527651217</v>
      </c>
      <c r="CO20">
        <f t="shared" si="49"/>
        <v>589.66653106906722</v>
      </c>
      <c r="CP20">
        <f t="shared" si="50"/>
        <v>408.15524860751179</v>
      </c>
      <c r="CQ20">
        <f t="shared" si="51"/>
        <v>135.75671883147388</v>
      </c>
      <c r="CR20">
        <f t="shared" si="52"/>
        <v>65.13186471677642</v>
      </c>
      <c r="CS20">
        <f t="shared" si="53"/>
        <v>54.189018001214585</v>
      </c>
      <c r="CT20">
        <f t="shared" si="54"/>
        <v>-18.841488125168659</v>
      </c>
      <c r="CU20">
        <f t="shared" si="55"/>
        <v>0</v>
      </c>
      <c r="CV20">
        <f t="shared" si="56"/>
        <v>13.072278058252367</v>
      </c>
      <c r="CW20">
        <f t="shared" si="57"/>
        <v>-0.46629370458063024</v>
      </c>
      <c r="CX20">
        <f t="shared" si="58"/>
        <v>-503.20155036994606</v>
      </c>
      <c r="CY20">
        <f t="shared" si="59"/>
        <v>6.6118500000000004</v>
      </c>
      <c r="CZ20">
        <f t="shared" si="60"/>
        <v>3.710124</v>
      </c>
      <c r="DA20">
        <v>8985.7363426437605</v>
      </c>
      <c r="DB20">
        <f t="shared" si="71"/>
        <v>2422153.5397216063</v>
      </c>
      <c r="DC20">
        <f t="shared" si="72"/>
        <v>950003.18970479909</v>
      </c>
      <c r="DD20">
        <f t="shared" si="73"/>
        <v>1098753.2353584121</v>
      </c>
      <c r="DE20">
        <f t="shared" si="74"/>
        <v>794561.27376330958</v>
      </c>
      <c r="DF20">
        <f t="shared" si="75"/>
        <v>621129.0326663123</v>
      </c>
      <c r="DG20">
        <f t="shared" si="76"/>
        <v>1213251.1662007431</v>
      </c>
      <c r="DH20">
        <f t="shared" si="77"/>
        <v>1239089.6805306715</v>
      </c>
      <c r="DI20">
        <f t="shared" si="78"/>
        <v>635478.58429674804</v>
      </c>
    </row>
    <row r="21" spans="1:113" x14ac:dyDescent="0.3">
      <c r="A21" s="1">
        <v>45412</v>
      </c>
      <c r="B21">
        <v>18</v>
      </c>
      <c r="C21">
        <v>0</v>
      </c>
      <c r="D21">
        <v>0.16504854368932001</v>
      </c>
      <c r="E21">
        <v>0.82298386589365602</v>
      </c>
      <c r="F21">
        <v>-0.56806474673115503</v>
      </c>
      <c r="G21">
        <v>0.99553850138015298</v>
      </c>
      <c r="H21">
        <v>0.98689658602923902</v>
      </c>
      <c r="I21">
        <v>0.80703956485478701</v>
      </c>
      <c r="J21">
        <v>8.5431433721731995E-2</v>
      </c>
      <c r="K21">
        <v>13.1442568326644</v>
      </c>
      <c r="L21">
        <v>1.0005767742295599</v>
      </c>
      <c r="M21">
        <v>0.35384426604070801</v>
      </c>
      <c r="N21">
        <v>5.39747438634733</v>
      </c>
      <c r="O21">
        <v>0.73905065849266305</v>
      </c>
      <c r="P21">
        <v>1.2028856353777799</v>
      </c>
      <c r="Q21">
        <v>4.01221280140732</v>
      </c>
      <c r="R21">
        <v>0.48551934051999202</v>
      </c>
      <c r="S21">
        <v>0.47909772955643198</v>
      </c>
      <c r="T21">
        <v>2.3924787525401299</v>
      </c>
      <c r="U21">
        <v>17</v>
      </c>
      <c r="V21">
        <v>131</v>
      </c>
      <c r="W21">
        <v>1850</v>
      </c>
      <c r="X21">
        <v>8959.8465124213799</v>
      </c>
      <c r="Y21">
        <f t="shared" si="8"/>
        <v>16575716.047979552</v>
      </c>
      <c r="Z21">
        <f t="shared" si="70"/>
        <v>9.8406842912832388</v>
      </c>
      <c r="AA21">
        <f t="shared" ref="AA21:AA84" si="80">N21+(AA$2*AA20)</f>
        <v>7.2374005397829597</v>
      </c>
      <c r="AB21">
        <f t="shared" ref="AB21:AB84" si="81">O21+(AB$2*AB20)</f>
        <v>2.5659562877380671</v>
      </c>
      <c r="AC21">
        <f t="shared" ref="AC21:AC84" si="82">P21+(AC$2*AC20)</f>
        <v>1.7595201508358747</v>
      </c>
      <c r="AD21">
        <f t="shared" ref="AD21:AD84" si="83">Q21+(AD$2*AD20)</f>
        <v>4.8247232542620315</v>
      </c>
      <c r="AE21">
        <f t="shared" ref="AE21:AE84" si="84">R21+(AE$2*AE20)</f>
        <v>2.9791948921101383</v>
      </c>
      <c r="AF21">
        <f t="shared" ref="AF21:AF84" si="85">S21+(AF$2*AF20)</f>
        <v>6.6371703456246474</v>
      </c>
      <c r="AG21">
        <f t="shared" ref="AG21:AG84" si="86">T21+(AG$2*AG20)</f>
        <v>4.3541187243901796</v>
      </c>
      <c r="AH21">
        <f t="shared" si="4"/>
        <v>14.752361412031716</v>
      </c>
      <c r="AI21">
        <f t="shared" si="79"/>
        <v>6.9687240579263854</v>
      </c>
      <c r="AJ21">
        <f t="shared" si="79"/>
        <v>4.6296050148216619</v>
      </c>
      <c r="AK21">
        <f t="shared" si="79"/>
        <v>3.6948385064954095</v>
      </c>
      <c r="AL21">
        <f t="shared" si="79"/>
        <v>2.5944664113759068</v>
      </c>
      <c r="AM21">
        <f t="shared" si="79"/>
        <v>2.3895751703221002</v>
      </c>
      <c r="AN21">
        <f t="shared" si="79"/>
        <v>6.5870344778956778</v>
      </c>
      <c r="AO21">
        <f t="shared" si="79"/>
        <v>3.6424813908642166</v>
      </c>
      <c r="AP21">
        <f t="shared" si="10"/>
        <v>0.34348442156654918</v>
      </c>
      <c r="AQ21">
        <f t="shared" si="11"/>
        <v>0.51323738999418356</v>
      </c>
      <c r="AR21">
        <f t="shared" si="12"/>
        <v>0.3107341254366307</v>
      </c>
      <c r="AS21">
        <f t="shared" si="13"/>
        <v>0.28345866077868515</v>
      </c>
      <c r="AT21">
        <f t="shared" si="14"/>
        <v>0.68470203126733042</v>
      </c>
      <c r="AU21">
        <f t="shared" si="15"/>
        <v>0.58195553564683078</v>
      </c>
      <c r="AV21">
        <f t="shared" si="16"/>
        <v>0.50284339785307819</v>
      </c>
      <c r="AW21">
        <f t="shared" si="17"/>
        <v>0.55993963145325509</v>
      </c>
      <c r="AY21" t="s">
        <v>11</v>
      </c>
      <c r="AZ21">
        <v>-1.027183</v>
      </c>
      <c r="BC21">
        <f t="shared" si="18"/>
        <v>62.542702097824538</v>
      </c>
      <c r="BD21">
        <f t="shared" si="19"/>
        <v>63.862686326019187</v>
      </c>
      <c r="BE21">
        <f t="shared" si="20"/>
        <v>33.907556665679614</v>
      </c>
      <c r="BF21">
        <f t="shared" si="21"/>
        <v>20.486128583677043</v>
      </c>
      <c r="BG21">
        <f t="shared" si="22"/>
        <v>16.01183711132418</v>
      </c>
      <c r="BH21">
        <f t="shared" si="23"/>
        <v>71.297610291127796</v>
      </c>
      <c r="BI21">
        <f t="shared" si="24"/>
        <v>46.442938548328328</v>
      </c>
      <c r="BJ21">
        <f t="shared" si="25"/>
        <v>56.228520737062013</v>
      </c>
      <c r="BK21">
        <f t="shared" si="26"/>
        <v>3.584049109742204</v>
      </c>
      <c r="BL21">
        <f t="shared" si="27"/>
        <v>-1.7416227895053416</v>
      </c>
      <c r="BM21">
        <f t="shared" si="28"/>
        <v>15.710174354238783</v>
      </c>
      <c r="BN21">
        <f t="shared" si="29"/>
        <v>0.2580480376366357</v>
      </c>
      <c r="BO21">
        <f t="shared" si="30"/>
        <v>4.0167250095091784</v>
      </c>
      <c r="BP21">
        <f t="shared" si="31"/>
        <v>14.309945775156775</v>
      </c>
      <c r="BQ21">
        <f t="shared" si="32"/>
        <v>0</v>
      </c>
      <c r="BR21">
        <f t="shared" si="33"/>
        <v>20.805584844660146</v>
      </c>
      <c r="BS21">
        <f t="shared" si="34"/>
        <v>1.2840230172124871</v>
      </c>
      <c r="BT21">
        <f t="shared" si="35"/>
        <v>-1.0277754526834419</v>
      </c>
      <c r="BU21">
        <f t="shared" si="36"/>
        <v>145.44406000000001</v>
      </c>
      <c r="BV21">
        <f t="shared" si="37"/>
        <v>-73.617632999999998</v>
      </c>
      <c r="BW21">
        <f t="shared" si="38"/>
        <v>370.7799803610427</v>
      </c>
      <c r="BX21">
        <f t="shared" si="39"/>
        <v>1529.2748249821975</v>
      </c>
      <c r="BY21">
        <f t="shared" si="40"/>
        <v>1850</v>
      </c>
      <c r="BZ21">
        <v>1900.0548018796001</v>
      </c>
      <c r="CB21" t="s">
        <v>11</v>
      </c>
      <c r="CC21">
        <v>-502.018103</v>
      </c>
      <c r="CD21">
        <v>1858.0440481119499</v>
      </c>
      <c r="CG21">
        <f t="shared" si="41"/>
        <v>175.45495278763062</v>
      </c>
      <c r="CH21">
        <f t="shared" si="42"/>
        <v>186.92176057110595</v>
      </c>
      <c r="CI21">
        <f t="shared" si="43"/>
        <v>83.362770805973526</v>
      </c>
      <c r="CJ21">
        <f t="shared" si="44"/>
        <v>84.356833992826324</v>
      </c>
      <c r="CK21">
        <f t="shared" si="45"/>
        <v>101.71546451389592</v>
      </c>
      <c r="CL21">
        <f t="shared" si="46"/>
        <v>104.63475914595134</v>
      </c>
      <c r="CM21">
        <f t="shared" si="47"/>
        <v>114.26555646391276</v>
      </c>
      <c r="CN21">
        <f t="shared" si="48"/>
        <v>80.340081767010261</v>
      </c>
      <c r="CO21">
        <f t="shared" si="49"/>
        <v>587.96757554721978</v>
      </c>
      <c r="CP21">
        <f t="shared" si="50"/>
        <v>408.37780137751963</v>
      </c>
      <c r="CQ21">
        <f t="shared" si="51"/>
        <v>136.23507059246586</v>
      </c>
      <c r="CR21">
        <f t="shared" si="52"/>
        <v>37.486112805452208</v>
      </c>
      <c r="CS21">
        <f t="shared" si="53"/>
        <v>50.365784670922658</v>
      </c>
      <c r="CT21">
        <f t="shared" si="54"/>
        <v>-23.031313744893197</v>
      </c>
      <c r="CU21">
        <f t="shared" si="55"/>
        <v>0</v>
      </c>
      <c r="CV21">
        <f t="shared" si="56"/>
        <v>13.889295436893171</v>
      </c>
      <c r="CW21">
        <f t="shared" si="57"/>
        <v>-0.53163261185394439</v>
      </c>
      <c r="CX21">
        <f t="shared" si="58"/>
        <v>-502.30765410458298</v>
      </c>
      <c r="CY21">
        <f t="shared" si="59"/>
        <v>5.774349</v>
      </c>
      <c r="CZ21">
        <f t="shared" si="60"/>
        <v>7.0080119999999999</v>
      </c>
      <c r="DA21">
        <v>8959.8465124213799</v>
      </c>
      <c r="DB21">
        <f t="shared" si="71"/>
        <v>1572049.4468213101</v>
      </c>
      <c r="DC21">
        <f t="shared" si="72"/>
        <v>1674790.2845486877</v>
      </c>
      <c r="DD21">
        <f t="shared" si="73"/>
        <v>746917.63127168466</v>
      </c>
      <c r="DE21">
        <f t="shared" si="74"/>
        <v>755824.28484953428</v>
      </c>
      <c r="DF21">
        <f t="shared" si="75"/>
        <v>911354.94998415106</v>
      </c>
      <c r="DG21">
        <f t="shared" si="76"/>
        <v>937511.38181190321</v>
      </c>
      <c r="DH21">
        <f t="shared" si="77"/>
        <v>1023801.847573077</v>
      </c>
      <c r="DI21">
        <f t="shared" si="78"/>
        <v>719834.80142779544</v>
      </c>
    </row>
    <row r="22" spans="1:113" x14ac:dyDescent="0.3">
      <c r="A22" s="1">
        <v>45419</v>
      </c>
      <c r="B22">
        <v>19</v>
      </c>
      <c r="C22">
        <v>0</v>
      </c>
      <c r="D22">
        <v>0.17475728155339801</v>
      </c>
      <c r="E22">
        <v>0.74851074817110097</v>
      </c>
      <c r="F22">
        <v>-0.66312265824079497</v>
      </c>
      <c r="G22">
        <v>0.99817385228407496</v>
      </c>
      <c r="H22">
        <v>0.98755657608115399</v>
      </c>
      <c r="I22">
        <v>0.83138833260834799</v>
      </c>
      <c r="J22">
        <v>8.3288223592976204E-2</v>
      </c>
      <c r="K22">
        <v>13.157688664315</v>
      </c>
      <c r="L22">
        <v>1.00003188325821</v>
      </c>
      <c r="M22">
        <v>7.2991757389332896</v>
      </c>
      <c r="N22">
        <v>0.63379649531235904</v>
      </c>
      <c r="O22">
        <v>0.255849534131672</v>
      </c>
      <c r="P22">
        <v>2.5052632821934999</v>
      </c>
      <c r="Q22">
        <v>1.8457915984695901</v>
      </c>
      <c r="R22">
        <v>0.474784665099581</v>
      </c>
      <c r="S22">
        <v>6.5344934361912399</v>
      </c>
      <c r="T22">
        <v>1.4112458682928</v>
      </c>
      <c r="U22">
        <v>19</v>
      </c>
      <c r="V22">
        <v>152</v>
      </c>
      <c r="W22">
        <v>1838</v>
      </c>
      <c r="X22">
        <v>8983.5646705566796</v>
      </c>
      <c r="Y22">
        <f t="shared" si="8"/>
        <v>16511791.864483178</v>
      </c>
      <c r="Z22">
        <f t="shared" si="70"/>
        <v>13.203586313703234</v>
      </c>
      <c r="AA22">
        <f t="shared" si="80"/>
        <v>4.2524967652038388</v>
      </c>
      <c r="AB22">
        <f t="shared" si="81"/>
        <v>1.4105298636138022</v>
      </c>
      <c r="AC22">
        <f t="shared" si="82"/>
        <v>3.033119327444262</v>
      </c>
      <c r="AD22">
        <f t="shared" si="83"/>
        <v>3.5344447374613011</v>
      </c>
      <c r="AE22">
        <f t="shared" si="84"/>
        <v>1.9643821111546502</v>
      </c>
      <c r="AF22">
        <f t="shared" si="85"/>
        <v>11.180512678128494</v>
      </c>
      <c r="AG22">
        <f t="shared" si="86"/>
        <v>3.8060111667073988</v>
      </c>
      <c r="AH22">
        <f t="shared" si="4"/>
        <v>14.752361412031716</v>
      </c>
      <c r="AI22">
        <f t="shared" si="79"/>
        <v>6.9687240579263854</v>
      </c>
      <c r="AJ22">
        <f t="shared" si="79"/>
        <v>4.6296050148216619</v>
      </c>
      <c r="AK22">
        <f t="shared" si="79"/>
        <v>3.6948385064954095</v>
      </c>
      <c r="AL22">
        <f t="shared" si="79"/>
        <v>2.5944664113759068</v>
      </c>
      <c r="AM22">
        <f t="shared" si="79"/>
        <v>2.3895751703221002</v>
      </c>
      <c r="AN22">
        <f t="shared" si="79"/>
        <v>6.5870344778956778</v>
      </c>
      <c r="AO22">
        <f t="shared" si="79"/>
        <v>3.6424813908642166</v>
      </c>
      <c r="AP22">
        <f t="shared" si="10"/>
        <v>0.45575019705159253</v>
      </c>
      <c r="AQ22">
        <f t="shared" si="11"/>
        <v>0.33370031746920209</v>
      </c>
      <c r="AR22">
        <f t="shared" si="12"/>
        <v>0.16735594748690572</v>
      </c>
      <c r="AS22">
        <f t="shared" si="13"/>
        <v>0.43864043933325342</v>
      </c>
      <c r="AT22">
        <f t="shared" si="14"/>
        <v>0.59543243618911357</v>
      </c>
      <c r="AU22">
        <f t="shared" si="15"/>
        <v>0.42704769457029135</v>
      </c>
      <c r="AV22">
        <f t="shared" si="16"/>
        <v>0.68860457329644142</v>
      </c>
      <c r="AW22">
        <f t="shared" si="17"/>
        <v>0.51481749649879416</v>
      </c>
      <c r="AY22" t="s">
        <v>21</v>
      </c>
      <c r="AZ22">
        <v>1.11026</v>
      </c>
      <c r="BC22">
        <f t="shared" si="18"/>
        <v>82.984400501261277</v>
      </c>
      <c r="BD22">
        <f t="shared" si="19"/>
        <v>41.522693234937904</v>
      </c>
      <c r="BE22">
        <f t="shared" si="20"/>
        <v>18.262015041885089</v>
      </c>
      <c r="BF22">
        <f t="shared" si="21"/>
        <v>31.701428411099478</v>
      </c>
      <c r="BG22">
        <f t="shared" si="22"/>
        <v>13.924257185877455</v>
      </c>
      <c r="BH22">
        <f t="shared" si="23"/>
        <v>52.31925506019202</v>
      </c>
      <c r="BI22">
        <f t="shared" si="24"/>
        <v>63.599959785190812</v>
      </c>
      <c r="BJ22">
        <f t="shared" si="25"/>
        <v>51.697405669527768</v>
      </c>
      <c r="BK22">
        <f t="shared" si="26"/>
        <v>3.5935366655202734</v>
      </c>
      <c r="BL22">
        <f t="shared" si="27"/>
        <v>-1.7427875049694883</v>
      </c>
      <c r="BM22">
        <f t="shared" si="28"/>
        <v>16.184157791207127</v>
      </c>
      <c r="BN22">
        <f t="shared" si="29"/>
        <v>0.25157441143284526</v>
      </c>
      <c r="BO22">
        <f t="shared" si="30"/>
        <v>3.6532451809374695</v>
      </c>
      <c r="BP22">
        <f t="shared" si="31"/>
        <v>16.704520631333104</v>
      </c>
      <c r="BQ22">
        <f t="shared" si="32"/>
        <v>0</v>
      </c>
      <c r="BR22">
        <f t="shared" si="33"/>
        <v>22.029442776699021</v>
      </c>
      <c r="BS22">
        <f t="shared" si="34"/>
        <v>1.2853351325509392</v>
      </c>
      <c r="BT22">
        <f t="shared" si="35"/>
        <v>-1.0272157499408179</v>
      </c>
      <c r="BU22">
        <f t="shared" si="36"/>
        <v>168.75952000000001</v>
      </c>
      <c r="BV22">
        <f t="shared" si="37"/>
        <v>-82.278531000000001</v>
      </c>
      <c r="BW22">
        <f t="shared" si="38"/>
        <v>356.01141488997183</v>
      </c>
      <c r="BX22">
        <f t="shared" si="39"/>
        <v>1547.6620444110006</v>
      </c>
      <c r="BY22">
        <f t="shared" si="40"/>
        <v>1838</v>
      </c>
      <c r="BZ22">
        <v>1903.6734558262699</v>
      </c>
      <c r="CB22" t="s">
        <v>21</v>
      </c>
      <c r="CC22">
        <v>4.4079E-2</v>
      </c>
      <c r="CD22">
        <v>1851.7719360142401</v>
      </c>
      <c r="CG22">
        <f t="shared" si="41"/>
        <v>232.80132747198778</v>
      </c>
      <c r="CH22">
        <f t="shared" si="42"/>
        <v>121.53411279171833</v>
      </c>
      <c r="CI22">
        <f t="shared" si="43"/>
        <v>44.89772558377274</v>
      </c>
      <c r="CJ22">
        <f t="shared" si="44"/>
        <v>130.5386775684579</v>
      </c>
      <c r="CK22">
        <f t="shared" si="45"/>
        <v>88.454077931557805</v>
      </c>
      <c r="CL22">
        <f t="shared" si="46"/>
        <v>76.78255455639048</v>
      </c>
      <c r="CM22">
        <f t="shared" si="47"/>
        <v>156.47771271783321</v>
      </c>
      <c r="CN22">
        <f t="shared" si="48"/>
        <v>73.865962401079827</v>
      </c>
      <c r="CO22">
        <f t="shared" si="49"/>
        <v>589.52402050595026</v>
      </c>
      <c r="CP22">
        <f t="shared" si="50"/>
        <v>408.6509052570421</v>
      </c>
      <c r="CQ22">
        <f t="shared" si="51"/>
        <v>140.34534750849636</v>
      </c>
      <c r="CR22">
        <f t="shared" si="52"/>
        <v>36.545702313056481</v>
      </c>
      <c r="CS22">
        <f t="shared" si="53"/>
        <v>45.808104786258717</v>
      </c>
      <c r="CT22">
        <f t="shared" si="54"/>
        <v>-26.885290948215292</v>
      </c>
      <c r="CU22">
        <f t="shared" si="55"/>
        <v>0</v>
      </c>
      <c r="CV22">
        <f t="shared" si="56"/>
        <v>14.706312815533975</v>
      </c>
      <c r="CW22">
        <f t="shared" si="57"/>
        <v>-0.53217587571688452</v>
      </c>
      <c r="CX22">
        <f t="shared" si="58"/>
        <v>-502.03410897280406</v>
      </c>
      <c r="CY22">
        <f t="shared" si="59"/>
        <v>6.7000080000000004</v>
      </c>
      <c r="CZ22">
        <f t="shared" si="60"/>
        <v>7.832484</v>
      </c>
      <c r="DA22">
        <v>8983.5646705566796</v>
      </c>
      <c r="DB22">
        <f t="shared" si="71"/>
        <v>2091385.7807360454</v>
      </c>
      <c r="DC22">
        <f t="shared" si="72"/>
        <v>1091809.5619431315</v>
      </c>
      <c r="DD22">
        <f t="shared" si="73"/>
        <v>403341.62134272954</v>
      </c>
      <c r="DE22">
        <f t="shared" si="74"/>
        <v>1172702.6519451882</v>
      </c>
      <c r="DF22">
        <f t="shared" si="75"/>
        <v>794632.92947261001</v>
      </c>
      <c r="DG22">
        <f t="shared" si="76"/>
        <v>689781.04442788032</v>
      </c>
      <c r="DH22">
        <f t="shared" si="77"/>
        <v>1405727.6517014441</v>
      </c>
      <c r="DI22">
        <f t="shared" si="78"/>
        <v>663579.65018300875</v>
      </c>
    </row>
    <row r="23" spans="1:113" x14ac:dyDescent="0.3">
      <c r="A23" s="1">
        <v>45426</v>
      </c>
      <c r="B23">
        <v>20</v>
      </c>
      <c r="C23">
        <v>0</v>
      </c>
      <c r="D23">
        <v>0.18446601941747501</v>
      </c>
      <c r="E23">
        <v>0.66312265824079497</v>
      </c>
      <c r="F23">
        <v>-0.74851074817110097</v>
      </c>
      <c r="G23">
        <v>0.99802407455111697</v>
      </c>
      <c r="H23">
        <v>0.99163413880687601</v>
      </c>
      <c r="I23">
        <v>0.826438349025438</v>
      </c>
      <c r="J23">
        <v>0.11664717168897799</v>
      </c>
      <c r="K23">
        <v>1.30836618585854</v>
      </c>
      <c r="L23">
        <v>0.99964997100356201</v>
      </c>
      <c r="M23">
        <v>5.02837475019333</v>
      </c>
      <c r="N23">
        <v>16.019445164111101</v>
      </c>
      <c r="O23">
        <v>1.9158449320856601</v>
      </c>
      <c r="P23">
        <v>2.9354890678332199</v>
      </c>
      <c r="Q23">
        <v>1.33989571829688</v>
      </c>
      <c r="R23">
        <v>1.6383140860643901</v>
      </c>
      <c r="S23">
        <v>17.682918597591101</v>
      </c>
      <c r="T23">
        <v>4.2443786268147896</v>
      </c>
      <c r="U23">
        <v>7</v>
      </c>
      <c r="V23">
        <v>143</v>
      </c>
      <c r="W23">
        <v>2194</v>
      </c>
      <c r="X23">
        <v>8982.2166709600497</v>
      </c>
      <c r="Y23">
        <f t="shared" si="8"/>
        <v>19706983.376086351</v>
      </c>
      <c r="Z23">
        <f t="shared" si="70"/>
        <v>12.95052653841527</v>
      </c>
      <c r="AA23">
        <f t="shared" si="80"/>
        <v>18.145693546713019</v>
      </c>
      <c r="AB23">
        <f t="shared" si="81"/>
        <v>2.550583370711871</v>
      </c>
      <c r="AC23">
        <f t="shared" si="82"/>
        <v>3.8454248660664985</v>
      </c>
      <c r="AD23">
        <f t="shared" si="83"/>
        <v>2.5769513764083354</v>
      </c>
      <c r="AE23">
        <f t="shared" si="84"/>
        <v>2.6205051416417153</v>
      </c>
      <c r="AF23">
        <f t="shared" si="85"/>
        <v>25.509277472281045</v>
      </c>
      <c r="AG23">
        <f t="shared" si="86"/>
        <v>6.3376847685038591</v>
      </c>
      <c r="AH23">
        <f t="shared" si="4"/>
        <v>14.752361412031716</v>
      </c>
      <c r="AI23">
        <f t="shared" si="79"/>
        <v>6.9687240579263854</v>
      </c>
      <c r="AJ23">
        <f t="shared" si="79"/>
        <v>4.6296050148216619</v>
      </c>
      <c r="AK23">
        <f t="shared" si="79"/>
        <v>3.6948385064954095</v>
      </c>
      <c r="AL23">
        <f t="shared" si="79"/>
        <v>2.5944664113759068</v>
      </c>
      <c r="AM23">
        <f t="shared" si="79"/>
        <v>2.3895751703221002</v>
      </c>
      <c r="AN23">
        <f t="shared" si="79"/>
        <v>6.5870344778956778</v>
      </c>
      <c r="AO23">
        <f t="shared" si="79"/>
        <v>3.6424813908642166</v>
      </c>
      <c r="AP23">
        <f t="shared" si="10"/>
        <v>0.4480811301467143</v>
      </c>
      <c r="AQ23">
        <f t="shared" si="11"/>
        <v>0.79245730664313652</v>
      </c>
      <c r="AR23">
        <f t="shared" si="12"/>
        <v>0.3089993148586575</v>
      </c>
      <c r="AS23">
        <f t="shared" si="13"/>
        <v>0.5124809216726921</v>
      </c>
      <c r="AT23">
        <f t="shared" si="14"/>
        <v>0.49788319687962673</v>
      </c>
      <c r="AU23">
        <f t="shared" si="15"/>
        <v>0.5345392178152405</v>
      </c>
      <c r="AV23">
        <f t="shared" si="16"/>
        <v>0.88400426323057002</v>
      </c>
      <c r="AW23">
        <f t="shared" si="17"/>
        <v>0.67867631014659302</v>
      </c>
      <c r="AY23" t="s">
        <v>20</v>
      </c>
      <c r="AZ23">
        <v>-4.3304489999999998</v>
      </c>
      <c r="BC23">
        <f t="shared" si="18"/>
        <v>81.587993163156852</v>
      </c>
      <c r="BD23">
        <f t="shared" si="19"/>
        <v>98.606324066697809</v>
      </c>
      <c r="BE23">
        <f t="shared" si="20"/>
        <v>33.718252745827911</v>
      </c>
      <c r="BF23">
        <f t="shared" si="21"/>
        <v>37.038028858342628</v>
      </c>
      <c r="BG23">
        <f t="shared" si="22"/>
        <v>11.643056811364106</v>
      </c>
      <c r="BH23">
        <f t="shared" si="23"/>
        <v>65.488454877837611</v>
      </c>
      <c r="BI23">
        <f t="shared" si="24"/>
        <v>81.647200398708179</v>
      </c>
      <c r="BJ23">
        <f t="shared" si="25"/>
        <v>68.151927163627093</v>
      </c>
      <c r="BK23">
        <f t="shared" si="26"/>
        <v>3.5929974490562961</v>
      </c>
      <c r="BL23">
        <f t="shared" si="27"/>
        <v>-1.7499833715570181</v>
      </c>
      <c r="BM23">
        <f t="shared" si="28"/>
        <v>16.087799311989162</v>
      </c>
      <c r="BN23">
        <f t="shared" si="29"/>
        <v>0.35233604820736536</v>
      </c>
      <c r="BO23">
        <f t="shared" si="30"/>
        <v>3.2364928112359741</v>
      </c>
      <c r="BP23">
        <f t="shared" si="31"/>
        <v>18.855505961400013</v>
      </c>
      <c r="BQ23">
        <f t="shared" si="32"/>
        <v>0</v>
      </c>
      <c r="BR23">
        <f t="shared" si="33"/>
        <v>23.253300708737772</v>
      </c>
      <c r="BS23">
        <f t="shared" si="34"/>
        <v>0.12781036759796319</v>
      </c>
      <c r="BT23">
        <f t="shared" si="35"/>
        <v>-1.0268234561653518</v>
      </c>
      <c r="BU23">
        <f t="shared" si="36"/>
        <v>158.76718</v>
      </c>
      <c r="BV23">
        <f t="shared" si="37"/>
        <v>-30.313142999999997</v>
      </c>
      <c r="BW23">
        <f t="shared" si="38"/>
        <v>477.88123808556213</v>
      </c>
      <c r="BX23">
        <f t="shared" si="39"/>
        <v>1591.4327189067321</v>
      </c>
      <c r="BY23">
        <f t="shared" si="40"/>
        <v>2194</v>
      </c>
      <c r="BZ23">
        <v>2069.3139573622502</v>
      </c>
      <c r="CB23" t="s">
        <v>20</v>
      </c>
      <c r="CC23">
        <v>0.41223599999999999</v>
      </c>
      <c r="CD23">
        <v>2150.5147080647498</v>
      </c>
      <c r="CG23">
        <f t="shared" si="41"/>
        <v>228.88389865357513</v>
      </c>
      <c r="CH23">
        <f t="shared" si="42"/>
        <v>288.61403674594044</v>
      </c>
      <c r="CI23">
        <f t="shared" si="43"/>
        <v>82.897361297442245</v>
      </c>
      <c r="CJ23">
        <f t="shared" si="44"/>
        <v>152.51348438348623</v>
      </c>
      <c r="CK23">
        <f t="shared" si="45"/>
        <v>73.962714190491781</v>
      </c>
      <c r="CL23">
        <f t="shared" si="46"/>
        <v>96.109374143157538</v>
      </c>
      <c r="CM23">
        <f t="shared" si="47"/>
        <v>200.88011393962054</v>
      </c>
      <c r="CN23">
        <f t="shared" si="48"/>
        <v>97.376408433525839</v>
      </c>
      <c r="CO23">
        <f t="shared" si="49"/>
        <v>589.43556139523162</v>
      </c>
      <c r="CP23">
        <f t="shared" si="50"/>
        <v>410.33820068848047</v>
      </c>
      <c r="CQ23">
        <f t="shared" si="51"/>
        <v>139.50974862063933</v>
      </c>
      <c r="CR23">
        <f t="shared" si="52"/>
        <v>51.183140044361316</v>
      </c>
      <c r="CS23">
        <f t="shared" si="53"/>
        <v>40.582439582942463</v>
      </c>
      <c r="CT23">
        <f t="shared" si="54"/>
        <v>-30.347220069109596</v>
      </c>
      <c r="CU23">
        <f t="shared" si="55"/>
        <v>0</v>
      </c>
      <c r="CV23">
        <f t="shared" si="56"/>
        <v>15.523330194174696</v>
      </c>
      <c r="CW23">
        <f t="shared" si="57"/>
        <v>-5.2918178753234513E-2</v>
      </c>
      <c r="CX23">
        <f t="shared" si="58"/>
        <v>-501.84238210721321</v>
      </c>
      <c r="CY23">
        <f t="shared" si="59"/>
        <v>6.3032969999999997</v>
      </c>
      <c r="CZ23">
        <f t="shared" si="60"/>
        <v>2.8856519999999999</v>
      </c>
      <c r="DA23">
        <v>8982.2166709600497</v>
      </c>
      <c r="DB23">
        <f t="shared" si="71"/>
        <v>2055884.770200473</v>
      </c>
      <c r="DC23">
        <f t="shared" si="72"/>
        <v>2592393.8123324625</v>
      </c>
      <c r="DD23">
        <f t="shared" si="73"/>
        <v>744602.06062448409</v>
      </c>
      <c r="DE23">
        <f t="shared" si="74"/>
        <v>1369909.1619755551</v>
      </c>
      <c r="DF23">
        <f t="shared" si="75"/>
        <v>664349.12443128868</v>
      </c>
      <c r="DG23">
        <f t="shared" si="76"/>
        <v>863275.22266420641</v>
      </c>
      <c r="DH23">
        <f t="shared" si="77"/>
        <v>1804348.708292814</v>
      </c>
      <c r="DI23">
        <f t="shared" si="78"/>
        <v>874655.99918983062</v>
      </c>
    </row>
    <row r="24" spans="1:113" x14ac:dyDescent="0.3">
      <c r="A24" s="1">
        <v>45433</v>
      </c>
      <c r="B24">
        <v>21</v>
      </c>
      <c r="C24">
        <v>0</v>
      </c>
      <c r="D24">
        <v>0.19417475728155301</v>
      </c>
      <c r="E24">
        <v>0.56806474673115503</v>
      </c>
      <c r="F24">
        <v>-0.82298386589365602</v>
      </c>
      <c r="G24">
        <v>0.99746948746048103</v>
      </c>
      <c r="H24">
        <v>0.99413947254461899</v>
      </c>
      <c r="I24">
        <v>0.80059378008664395</v>
      </c>
      <c r="J24">
        <v>0.11387205984767</v>
      </c>
      <c r="K24">
        <v>5.2340315533207598</v>
      </c>
      <c r="L24">
        <v>0.997388982531903</v>
      </c>
      <c r="M24">
        <v>4.0921291255914998</v>
      </c>
      <c r="N24">
        <v>8.5605925994432095</v>
      </c>
      <c r="O24">
        <v>1.22582545251044</v>
      </c>
      <c r="P24">
        <v>1.4604529618148101</v>
      </c>
      <c r="Q24">
        <v>1.54625235521612</v>
      </c>
      <c r="R24">
        <v>0.39125572284557197</v>
      </c>
      <c r="S24">
        <v>0.310284429227493</v>
      </c>
      <c r="T24">
        <v>1.8286013879938501</v>
      </c>
      <c r="U24">
        <v>10</v>
      </c>
      <c r="V24">
        <v>130</v>
      </c>
      <c r="W24">
        <v>2035</v>
      </c>
      <c r="X24">
        <v>8977.2253871443299</v>
      </c>
      <c r="Y24">
        <f t="shared" si="8"/>
        <v>18268653.662838712</v>
      </c>
      <c r="Z24">
        <f t="shared" si="70"/>
        <v>11.862445048640662</v>
      </c>
      <c r="AA24">
        <f t="shared" si="80"/>
        <v>17.633439372799721</v>
      </c>
      <c r="AB24">
        <f t="shared" si="81"/>
        <v>2.373587969330782</v>
      </c>
      <c r="AC24">
        <f t="shared" si="82"/>
        <v>2.6140804216347595</v>
      </c>
      <c r="AD24">
        <f t="shared" si="83"/>
        <v>2.4481853369590372</v>
      </c>
      <c r="AE24">
        <f t="shared" si="84"/>
        <v>1.7015082936664296</v>
      </c>
      <c r="AF24">
        <f t="shared" si="85"/>
        <v>18.166778659824224</v>
      </c>
      <c r="AG24">
        <f t="shared" si="86"/>
        <v>5.3143280106709732</v>
      </c>
      <c r="AH24">
        <f t="shared" si="4"/>
        <v>14.752361412031716</v>
      </c>
      <c r="AI24">
        <f t="shared" si="79"/>
        <v>6.9687240579263854</v>
      </c>
      <c r="AJ24">
        <f t="shared" si="79"/>
        <v>4.6296050148216619</v>
      </c>
      <c r="AK24">
        <f t="shared" si="79"/>
        <v>3.6948385064954095</v>
      </c>
      <c r="AL24">
        <f t="shared" si="79"/>
        <v>2.5944664113759068</v>
      </c>
      <c r="AM24">
        <f t="shared" si="79"/>
        <v>2.3895751703221002</v>
      </c>
      <c r="AN24">
        <f t="shared" si="79"/>
        <v>6.5870344778956778</v>
      </c>
      <c r="AO24">
        <f t="shared" si="79"/>
        <v>3.6424813908642166</v>
      </c>
      <c r="AP24">
        <f t="shared" si="10"/>
        <v>0.41366350020419612</v>
      </c>
      <c r="AQ24">
        <f t="shared" si="11"/>
        <v>0.78578632141153371</v>
      </c>
      <c r="AR24">
        <f t="shared" si="12"/>
        <v>0.28866165617297207</v>
      </c>
      <c r="AS24">
        <f t="shared" si="13"/>
        <v>0.39352221370690565</v>
      </c>
      <c r="AT24">
        <f t="shared" si="14"/>
        <v>0.48187238560599205</v>
      </c>
      <c r="AU24">
        <f t="shared" si="15"/>
        <v>0.37533401145675072</v>
      </c>
      <c r="AV24">
        <f t="shared" si="16"/>
        <v>0.82079412039001043</v>
      </c>
      <c r="AW24">
        <f t="shared" si="17"/>
        <v>0.6247949685154105</v>
      </c>
      <c r="BC24">
        <f t="shared" si="18"/>
        <v>75.32112502808765</v>
      </c>
      <c r="BD24">
        <f t="shared" si="19"/>
        <v>97.776246122968516</v>
      </c>
      <c r="BE24">
        <f t="shared" si="20"/>
        <v>31.498991139581307</v>
      </c>
      <c r="BF24">
        <f t="shared" si="21"/>
        <v>28.440643331858691</v>
      </c>
      <c r="BG24">
        <f t="shared" si="22"/>
        <v>11.268642116465241</v>
      </c>
      <c r="BH24">
        <f t="shared" si="23"/>
        <v>45.983612902840584</v>
      </c>
      <c r="BI24">
        <f t="shared" si="24"/>
        <v>75.809071088252537</v>
      </c>
      <c r="BJ24">
        <f t="shared" si="25"/>
        <v>62.741222214262216</v>
      </c>
      <c r="BK24">
        <f t="shared" si="26"/>
        <v>3.5910008739708399</v>
      </c>
      <c r="BL24">
        <f t="shared" si="27"/>
        <v>-1.7544046517546987</v>
      </c>
      <c r="BM24">
        <f t="shared" si="28"/>
        <v>15.584697974929368</v>
      </c>
      <c r="BN24">
        <f t="shared" si="29"/>
        <v>0.343953745187563</v>
      </c>
      <c r="BO24">
        <f t="shared" si="30"/>
        <v>2.7725450883995473</v>
      </c>
      <c r="BP24">
        <f t="shared" si="31"/>
        <v>20.731535555647991</v>
      </c>
      <c r="BQ24">
        <f t="shared" si="32"/>
        <v>0</v>
      </c>
      <c r="BR24">
        <f t="shared" si="33"/>
        <v>24.477158640776651</v>
      </c>
      <c r="BS24">
        <f t="shared" si="34"/>
        <v>0.51129684034924505</v>
      </c>
      <c r="BT24">
        <f t="shared" si="35"/>
        <v>-1.0245010072440677</v>
      </c>
      <c r="BU24">
        <f t="shared" si="36"/>
        <v>144.3338</v>
      </c>
      <c r="BV24">
        <f t="shared" si="37"/>
        <v>-43.304490000000001</v>
      </c>
      <c r="BW24">
        <f t="shared" si="38"/>
        <v>428.83955394431678</v>
      </c>
      <c r="BX24">
        <f t="shared" si="39"/>
        <v>1566.5118391364924</v>
      </c>
      <c r="BY24">
        <f t="shared" si="40"/>
        <v>2035</v>
      </c>
      <c r="BZ24">
        <v>1995.3513920571099</v>
      </c>
      <c r="CD24">
        <v>2025.2970525964299</v>
      </c>
      <c r="CG24">
        <f t="shared" si="41"/>
        <v>211.30306162729772</v>
      </c>
      <c r="CH24">
        <f t="shared" si="42"/>
        <v>286.1844547853409</v>
      </c>
      <c r="CI24">
        <f t="shared" si="43"/>
        <v>77.441238390559718</v>
      </c>
      <c r="CJ24">
        <f t="shared" si="44"/>
        <v>117.11156739035572</v>
      </c>
      <c r="CK24">
        <f t="shared" si="45"/>
        <v>71.584238544775118</v>
      </c>
      <c r="CL24">
        <f t="shared" si="46"/>
        <v>67.484509524271118</v>
      </c>
      <c r="CM24">
        <f t="shared" si="47"/>
        <v>186.51631364577577</v>
      </c>
      <c r="CN24">
        <f t="shared" si="48"/>
        <v>89.645518978299265</v>
      </c>
      <c r="CO24">
        <f t="shared" si="49"/>
        <v>589.10802084641409</v>
      </c>
      <c r="CP24">
        <f t="shared" si="50"/>
        <v>411.37490777412654</v>
      </c>
      <c r="CQ24">
        <f t="shared" si="51"/>
        <v>135.14696787587872</v>
      </c>
      <c r="CR24">
        <f t="shared" si="52"/>
        <v>49.965459958716735</v>
      </c>
      <c r="CS24">
        <f t="shared" si="53"/>
        <v>34.764991026811479</v>
      </c>
      <c r="CT24">
        <f t="shared" si="54"/>
        <v>-33.366618385408003</v>
      </c>
      <c r="CU24">
        <f t="shared" si="55"/>
        <v>0</v>
      </c>
      <c r="CV24">
        <f t="shared" si="56"/>
        <v>16.340347572815499</v>
      </c>
      <c r="CW24">
        <f t="shared" si="57"/>
        <v>-0.21169564020561146</v>
      </c>
      <c r="CX24">
        <f t="shared" si="58"/>
        <v>-500.7073249637661</v>
      </c>
      <c r="CY24">
        <f t="shared" si="59"/>
        <v>5.73027</v>
      </c>
      <c r="CZ24">
        <f t="shared" si="60"/>
        <v>4.1223599999999996</v>
      </c>
      <c r="DA24">
        <v>8977.2253871443299</v>
      </c>
      <c r="DB24">
        <f t="shared" si="71"/>
        <v>1896915.2092219</v>
      </c>
      <c r="DC24">
        <f t="shared" si="72"/>
        <v>2569142.352905021</v>
      </c>
      <c r="DD24">
        <f t="shared" si="73"/>
        <v>695207.45129162876</v>
      </c>
      <c r="DE24">
        <f t="shared" si="74"/>
        <v>1051336.9359049653</v>
      </c>
      <c r="DF24">
        <f t="shared" si="75"/>
        <v>642627.84358355089</v>
      </c>
      <c r="DG24">
        <f t="shared" si="76"/>
        <v>605823.65214026999</v>
      </c>
      <c r="DH24">
        <f t="shared" si="77"/>
        <v>1674398.9859774327</v>
      </c>
      <c r="DI24">
        <f t="shared" si="78"/>
        <v>804768.02881571697</v>
      </c>
    </row>
    <row r="25" spans="1:113" x14ac:dyDescent="0.3">
      <c r="A25" s="1">
        <v>45440</v>
      </c>
      <c r="B25">
        <v>22</v>
      </c>
      <c r="C25">
        <v>0</v>
      </c>
      <c r="D25">
        <v>0.20388349514563101</v>
      </c>
      <c r="E25">
        <v>0.46472317204376901</v>
      </c>
      <c r="F25">
        <v>-0.88545602565320902</v>
      </c>
      <c r="G25">
        <v>0.99542669882726897</v>
      </c>
      <c r="H25">
        <v>0.99521008572206804</v>
      </c>
      <c r="I25">
        <v>0.80770869065635298</v>
      </c>
      <c r="J25">
        <v>0.118453595911406</v>
      </c>
      <c r="K25">
        <v>24.585958135063802</v>
      </c>
      <c r="L25">
        <v>0.99591124548343601</v>
      </c>
      <c r="M25">
        <v>7.4330028877596996</v>
      </c>
      <c r="N25">
        <v>1.8279913958043801</v>
      </c>
      <c r="O25">
        <v>3.6644649097975899</v>
      </c>
      <c r="P25">
        <v>2.6320040825565298</v>
      </c>
      <c r="Q25">
        <v>0.49446356045170797</v>
      </c>
      <c r="R25">
        <v>0.52139049552268502</v>
      </c>
      <c r="S25">
        <v>2.01814127745592</v>
      </c>
      <c r="T25">
        <v>1.14350666055467</v>
      </c>
      <c r="U25">
        <v>14</v>
      </c>
      <c r="V25">
        <v>117</v>
      </c>
      <c r="W25">
        <v>2044</v>
      </c>
      <c r="X25">
        <v>8958.8402894454193</v>
      </c>
      <c r="Y25">
        <f t="shared" si="8"/>
        <v>18311869.551626436</v>
      </c>
      <c r="Z25">
        <f t="shared" si="70"/>
        <v>14.550469916944097</v>
      </c>
      <c r="AA25">
        <f t="shared" si="80"/>
        <v>10.644711082204241</v>
      </c>
      <c r="AB25">
        <f t="shared" si="81"/>
        <v>4.7325794959964416</v>
      </c>
      <c r="AC25">
        <f t="shared" si="82"/>
        <v>3.4162282090469578</v>
      </c>
      <c r="AD25">
        <f t="shared" si="83"/>
        <v>1.351328428387371</v>
      </c>
      <c r="AE25">
        <f t="shared" si="84"/>
        <v>1.3721446423558998</v>
      </c>
      <c r="AF25">
        <f t="shared" si="85"/>
        <v>14.734886339332876</v>
      </c>
      <c r="AG25">
        <f t="shared" si="86"/>
        <v>4.0663870664237054</v>
      </c>
      <c r="AH25">
        <f t="shared" si="4"/>
        <v>14.752361412031716</v>
      </c>
      <c r="AI25">
        <f t="shared" si="79"/>
        <v>6.9687240579263854</v>
      </c>
      <c r="AJ25">
        <f t="shared" si="79"/>
        <v>4.6296050148216619</v>
      </c>
      <c r="AK25">
        <f t="shared" si="79"/>
        <v>3.6948385064954095</v>
      </c>
      <c r="AL25">
        <f t="shared" si="79"/>
        <v>2.5944664113759068</v>
      </c>
      <c r="AM25">
        <f t="shared" si="79"/>
        <v>2.3895751703221002</v>
      </c>
      <c r="AN25">
        <f t="shared" si="79"/>
        <v>6.5870344778956778</v>
      </c>
      <c r="AO25">
        <f t="shared" si="79"/>
        <v>3.6424813908642166</v>
      </c>
      <c r="AP25">
        <f t="shared" si="10"/>
        <v>0.49448827290774805</v>
      </c>
      <c r="AQ25">
        <f t="shared" si="11"/>
        <v>0.64407231112885877</v>
      </c>
      <c r="AR25">
        <f t="shared" si="12"/>
        <v>0.50742406532510687</v>
      </c>
      <c r="AS25">
        <f t="shared" si="13"/>
        <v>0.47551966172068805</v>
      </c>
      <c r="AT25">
        <f t="shared" si="14"/>
        <v>0.30674822878178382</v>
      </c>
      <c r="AU25">
        <f t="shared" si="15"/>
        <v>0.30319890105330188</v>
      </c>
      <c r="AV25">
        <f t="shared" si="16"/>
        <v>0.76988677495810731</v>
      </c>
      <c r="AW25">
        <f t="shared" si="17"/>
        <v>0.53708705221042063</v>
      </c>
      <c r="BC25">
        <f t="shared" si="18"/>
        <v>90.037948743899861</v>
      </c>
      <c r="BD25">
        <f t="shared" si="19"/>
        <v>80.142617780366095</v>
      </c>
      <c r="BE25">
        <f t="shared" si="20"/>
        <v>55.370520454951986</v>
      </c>
      <c r="BF25">
        <f t="shared" si="21"/>
        <v>34.366764124672493</v>
      </c>
      <c r="BG25">
        <f t="shared" si="22"/>
        <v>7.1733432196047824</v>
      </c>
      <c r="BH25">
        <f t="shared" si="23"/>
        <v>37.146063167814567</v>
      </c>
      <c r="BI25">
        <f t="shared" si="24"/>
        <v>71.107236032553544</v>
      </c>
      <c r="BJ25">
        <f t="shared" si="25"/>
        <v>53.933689913038904</v>
      </c>
      <c r="BK25">
        <f t="shared" si="26"/>
        <v>3.5836466081417382</v>
      </c>
      <c r="BL25">
        <f t="shared" si="27"/>
        <v>-1.7562940131477625</v>
      </c>
      <c r="BM25">
        <f t="shared" si="28"/>
        <v>15.723199840801405</v>
      </c>
      <c r="BN25">
        <f t="shared" si="29"/>
        <v>0.35779240315108735</v>
      </c>
      <c r="BO25">
        <f t="shared" si="30"/>
        <v>2.2681674149464426</v>
      </c>
      <c r="BP25">
        <f t="shared" si="31"/>
        <v>22.305252678142164</v>
      </c>
      <c r="BQ25">
        <f t="shared" si="32"/>
        <v>0</v>
      </c>
      <c r="BR25">
        <f t="shared" si="33"/>
        <v>25.701016572815526</v>
      </c>
      <c r="BS25">
        <f t="shared" si="34"/>
        <v>2.4017284923399775</v>
      </c>
      <c r="BT25">
        <f t="shared" si="35"/>
        <v>-1.0229831008694121</v>
      </c>
      <c r="BU25">
        <f t="shared" si="36"/>
        <v>129.90042</v>
      </c>
      <c r="BV25">
        <f t="shared" si="37"/>
        <v>-60.626285999999993</v>
      </c>
      <c r="BW25">
        <f t="shared" si="38"/>
        <v>429.27818343690222</v>
      </c>
      <c r="BX25">
        <f t="shared" si="39"/>
        <v>1539.0849069725512</v>
      </c>
      <c r="BY25">
        <f t="shared" si="40"/>
        <v>2044</v>
      </c>
      <c r="BZ25">
        <v>1968.36308462278</v>
      </c>
      <c r="CD25">
        <v>2030.3668966917501</v>
      </c>
      <c r="CG25">
        <f t="shared" si="41"/>
        <v>252.58908739258888</v>
      </c>
      <c r="CH25">
        <f t="shared" si="42"/>
        <v>234.5720180921966</v>
      </c>
      <c r="CI25">
        <f t="shared" si="43"/>
        <v>136.13012732249356</v>
      </c>
      <c r="CJ25">
        <f t="shared" si="44"/>
        <v>141.51387385342986</v>
      </c>
      <c r="CK25">
        <f t="shared" si="45"/>
        <v>45.568783433580961</v>
      </c>
      <c r="CL25">
        <f t="shared" si="46"/>
        <v>54.514721558181542</v>
      </c>
      <c r="CM25">
        <f t="shared" si="47"/>
        <v>174.94818691146267</v>
      </c>
      <c r="CN25">
        <f t="shared" si="48"/>
        <v>77.06119600535888</v>
      </c>
      <c r="CO25">
        <f t="shared" si="49"/>
        <v>587.90154467461366</v>
      </c>
      <c r="CP25">
        <f t="shared" si="50"/>
        <v>411.81792750053125</v>
      </c>
      <c r="CQ25">
        <f t="shared" si="51"/>
        <v>136.34802465913293</v>
      </c>
      <c r="CR25">
        <f t="shared" si="52"/>
        <v>51.975773612902401</v>
      </c>
      <c r="CS25">
        <f t="shared" si="53"/>
        <v>28.440590617567587</v>
      </c>
      <c r="CT25">
        <f t="shared" si="54"/>
        <v>-35.899456270566013</v>
      </c>
      <c r="CU25">
        <f t="shared" si="55"/>
        <v>0</v>
      </c>
      <c r="CV25">
        <f t="shared" si="56"/>
        <v>17.157364951456305</v>
      </c>
      <c r="CW25">
        <f t="shared" si="57"/>
        <v>-0.99440366273079062</v>
      </c>
      <c r="CX25">
        <f t="shared" si="58"/>
        <v>-499.96547421396184</v>
      </c>
      <c r="CY25">
        <f t="shared" si="59"/>
        <v>5.1572430000000002</v>
      </c>
      <c r="CZ25">
        <f t="shared" si="60"/>
        <v>5.7713039999999998</v>
      </c>
      <c r="DA25">
        <v>8958.8402894454193</v>
      </c>
      <c r="DB25">
        <f t="shared" si="71"/>
        <v>2262905.2928069751</v>
      </c>
      <c r="DC25">
        <f t="shared" si="72"/>
        <v>2101493.2464608909</v>
      </c>
      <c r="DD25">
        <f t="shared" si="73"/>
        <v>1219568.0692640899</v>
      </c>
      <c r="DE25">
        <f t="shared" si="74"/>
        <v>1267800.1945936042</v>
      </c>
      <c r="DF25">
        <f t="shared" si="75"/>
        <v>408243.45296577807</v>
      </c>
      <c r="DG25">
        <f t="shared" si="76"/>
        <v>488388.68386333558</v>
      </c>
      <c r="DH25">
        <f t="shared" si="77"/>
        <v>1567332.8654678396</v>
      </c>
      <c r="DI25">
        <f t="shared" si="78"/>
        <v>690378.94752565958</v>
      </c>
    </row>
    <row r="26" spans="1:113" x14ac:dyDescent="0.3">
      <c r="A26" s="1">
        <v>45447</v>
      </c>
      <c r="B26">
        <v>23</v>
      </c>
      <c r="C26">
        <v>0</v>
      </c>
      <c r="D26">
        <v>0.213592233009708</v>
      </c>
      <c r="E26">
        <v>0.35460488704253501</v>
      </c>
      <c r="F26">
        <v>-0.93501624268541395</v>
      </c>
      <c r="G26">
        <v>0.99909432284329103</v>
      </c>
      <c r="H26">
        <v>0.999599994395727</v>
      </c>
      <c r="I26">
        <v>0.797404414933086</v>
      </c>
      <c r="J26">
        <v>0.11333856859031299</v>
      </c>
      <c r="K26">
        <v>20.546405617802399</v>
      </c>
      <c r="L26">
        <v>0.99461998296565102</v>
      </c>
      <c r="M26">
        <v>2.9041963112627198</v>
      </c>
      <c r="N26">
        <v>2.0424342263687798</v>
      </c>
      <c r="O26">
        <v>0.343971659475721</v>
      </c>
      <c r="P26">
        <v>3.3167905394669801</v>
      </c>
      <c r="Q26">
        <v>2.8981928378684199</v>
      </c>
      <c r="R26">
        <v>1.68162247711792</v>
      </c>
      <c r="S26">
        <v>0.74282353511881105</v>
      </c>
      <c r="T26">
        <v>0.88536865037259105</v>
      </c>
      <c r="U26">
        <v>10</v>
      </c>
      <c r="V26">
        <v>136</v>
      </c>
      <c r="W26">
        <v>1944</v>
      </c>
      <c r="X26">
        <v>8991.8489055896207</v>
      </c>
      <c r="Y26">
        <f t="shared" si="8"/>
        <v>17480154.272466224</v>
      </c>
      <c r="Z26">
        <f t="shared" si="70"/>
        <v>11.634478261429177</v>
      </c>
      <c r="AA26">
        <f t="shared" si="80"/>
        <v>7.3647897674709002</v>
      </c>
      <c r="AB26">
        <f t="shared" si="81"/>
        <v>2.4736324326741199</v>
      </c>
      <c r="AC26">
        <f t="shared" si="82"/>
        <v>4.3416590021810677</v>
      </c>
      <c r="AD26">
        <f t="shared" si="83"/>
        <v>3.3711577878039996</v>
      </c>
      <c r="AE26">
        <f t="shared" si="84"/>
        <v>2.36769479829587</v>
      </c>
      <c r="AF26">
        <f t="shared" si="85"/>
        <v>11.057243972651824</v>
      </c>
      <c r="AG26">
        <f t="shared" si="86"/>
        <v>3.1218815369056294</v>
      </c>
      <c r="AH26">
        <f t="shared" si="4"/>
        <v>14.752361412031716</v>
      </c>
      <c r="AI26">
        <f t="shared" si="79"/>
        <v>6.9687240579263854</v>
      </c>
      <c r="AJ26">
        <f t="shared" si="79"/>
        <v>4.6296050148216619</v>
      </c>
      <c r="AK26">
        <f t="shared" si="79"/>
        <v>3.6948385064954095</v>
      </c>
      <c r="AL26">
        <f t="shared" si="79"/>
        <v>2.5944664113759068</v>
      </c>
      <c r="AM26">
        <f t="shared" si="79"/>
        <v>2.3895751703221002</v>
      </c>
      <c r="AN26">
        <f t="shared" si="79"/>
        <v>6.5870344778956778</v>
      </c>
      <c r="AO26">
        <f t="shared" si="79"/>
        <v>3.6424813908642166</v>
      </c>
      <c r="AP26">
        <f t="shared" si="10"/>
        <v>0.406153828530046</v>
      </c>
      <c r="AQ26">
        <f t="shared" si="11"/>
        <v>0.51933777506994672</v>
      </c>
      <c r="AR26">
        <f t="shared" si="12"/>
        <v>0.3002393798770599</v>
      </c>
      <c r="AS26">
        <f t="shared" si="13"/>
        <v>0.5502422688976204</v>
      </c>
      <c r="AT26">
        <f t="shared" si="14"/>
        <v>0.58111304254161111</v>
      </c>
      <c r="AU26">
        <f t="shared" si="15"/>
        <v>0.49655051437369069</v>
      </c>
      <c r="AV26">
        <f t="shared" si="16"/>
        <v>0.68502753207044553</v>
      </c>
      <c r="AW26">
        <f t="shared" si="17"/>
        <v>0.44813485302747952</v>
      </c>
      <c r="BC26">
        <f t="shared" si="18"/>
        <v>73.953740864850303</v>
      </c>
      <c r="BD26">
        <f t="shared" si="19"/>
        <v>64.621763872114968</v>
      </c>
      <c r="BE26">
        <f t="shared" si="20"/>
        <v>32.762361623928058</v>
      </c>
      <c r="BF26">
        <f t="shared" si="21"/>
        <v>39.767117511402851</v>
      </c>
      <c r="BG26">
        <f t="shared" si="22"/>
        <v>13.589396490061555</v>
      </c>
      <c r="BH26">
        <f t="shared" si="23"/>
        <v>60.834312752648614</v>
      </c>
      <c r="BI26">
        <f t="shared" si="24"/>
        <v>63.269581964674408</v>
      </c>
      <c r="BJ26">
        <f t="shared" si="25"/>
        <v>45.001208096411453</v>
      </c>
      <c r="BK26">
        <f t="shared" si="26"/>
        <v>3.5968504617056833</v>
      </c>
      <c r="BL26">
        <f t="shared" si="27"/>
        <v>-1.7640410913098761</v>
      </c>
      <c r="BM26">
        <f t="shared" si="28"/>
        <v>15.522612440559383</v>
      </c>
      <c r="BN26">
        <f t="shared" si="29"/>
        <v>0.34234231990696096</v>
      </c>
      <c r="BO26">
        <f t="shared" si="30"/>
        <v>1.730714753115195</v>
      </c>
      <c r="BP26">
        <f t="shared" si="31"/>
        <v>23.553708989534247</v>
      </c>
      <c r="BQ26">
        <f t="shared" si="32"/>
        <v>0</v>
      </c>
      <c r="BR26">
        <f t="shared" si="33"/>
        <v>26.924874504854277</v>
      </c>
      <c r="BS26">
        <f t="shared" si="34"/>
        <v>2.007116725586263</v>
      </c>
      <c r="BT26">
        <f t="shared" si="35"/>
        <v>-1.0216567379626063</v>
      </c>
      <c r="BU26">
        <f t="shared" si="36"/>
        <v>150.99536000000001</v>
      </c>
      <c r="BV26">
        <f t="shared" si="37"/>
        <v>-43.304490000000001</v>
      </c>
      <c r="BW26">
        <f t="shared" si="38"/>
        <v>393.79948317609222</v>
      </c>
      <c r="BX26">
        <f t="shared" si="39"/>
        <v>1578.8326384422196</v>
      </c>
      <c r="BY26">
        <f t="shared" si="40"/>
        <v>1944</v>
      </c>
      <c r="BZ26">
        <v>1972.6321175504399</v>
      </c>
      <c r="CD26">
        <v>1942.0146324484101</v>
      </c>
      <c r="CG26">
        <f t="shared" si="41"/>
        <v>207.46705333606485</v>
      </c>
      <c r="CH26">
        <f t="shared" si="42"/>
        <v>189.14352917322643</v>
      </c>
      <c r="CI26">
        <f t="shared" si="43"/>
        <v>80.547273578174114</v>
      </c>
      <c r="CJ26">
        <f t="shared" si="44"/>
        <v>163.75119957782218</v>
      </c>
      <c r="CK26">
        <f t="shared" si="45"/>
        <v>86.326869730178345</v>
      </c>
      <c r="CL26">
        <f t="shared" si="46"/>
        <v>89.279060499941679</v>
      </c>
      <c r="CM26">
        <f t="shared" si="47"/>
        <v>155.66486997608123</v>
      </c>
      <c r="CN26">
        <f t="shared" si="48"/>
        <v>64.298343450762601</v>
      </c>
      <c r="CO26">
        <f t="shared" si="49"/>
        <v>590.06765276358226</v>
      </c>
      <c r="CP26">
        <f t="shared" si="50"/>
        <v>413.63447168335188</v>
      </c>
      <c r="CQ26">
        <f t="shared" si="51"/>
        <v>134.608576196261</v>
      </c>
      <c r="CR26">
        <f t="shared" si="52"/>
        <v>49.731371490540653</v>
      </c>
      <c r="CS26">
        <f t="shared" si="53"/>
        <v>21.701462354486779</v>
      </c>
      <c r="CT26">
        <f t="shared" si="54"/>
        <v>-37.908799244763834</v>
      </c>
      <c r="CU26">
        <f t="shared" si="55"/>
        <v>0</v>
      </c>
      <c r="CV26">
        <f t="shared" si="56"/>
        <v>17.974382330097026</v>
      </c>
      <c r="CW26">
        <f t="shared" si="57"/>
        <v>-0.83101992161763594</v>
      </c>
      <c r="CX26">
        <f t="shared" si="58"/>
        <v>-499.31723705430841</v>
      </c>
      <c r="CY26">
        <f t="shared" si="59"/>
        <v>5.9947439999999999</v>
      </c>
      <c r="CZ26">
        <f t="shared" si="60"/>
        <v>4.1223599999999996</v>
      </c>
      <c r="DA26">
        <v>8991.8489055896207</v>
      </c>
      <c r="DB26">
        <f t="shared" si="71"/>
        <v>1865512.3964857983</v>
      </c>
      <c r="DC26">
        <f t="shared" si="72"/>
        <v>1700750.0357956346</v>
      </c>
      <c r="DD26">
        <f t="shared" si="73"/>
        <v>724268.91377213271</v>
      </c>
      <c r="DE26">
        <f t="shared" si="74"/>
        <v>1472426.044712828</v>
      </c>
      <c r="DF26">
        <f t="shared" si="75"/>
        <v>776238.16910628194</v>
      </c>
      <c r="DG26">
        <f t="shared" si="76"/>
        <v>802783.82244847016</v>
      </c>
      <c r="DH26">
        <f t="shared" si="77"/>
        <v>1399714.9907331767</v>
      </c>
      <c r="DI26">
        <f t="shared" si="78"/>
        <v>578160.98918896529</v>
      </c>
    </row>
    <row r="27" spans="1:113" x14ac:dyDescent="0.3">
      <c r="A27" s="1">
        <v>45454</v>
      </c>
      <c r="B27">
        <v>24</v>
      </c>
      <c r="C27">
        <v>1</v>
      </c>
      <c r="D27">
        <v>0.223300970873786</v>
      </c>
      <c r="E27">
        <v>0.23931566428755699</v>
      </c>
      <c r="F27">
        <v>-0.97094181742605201</v>
      </c>
      <c r="G27">
        <v>0.99863073439708505</v>
      </c>
      <c r="H27">
        <v>0.99603370523275803</v>
      </c>
      <c r="I27">
        <v>0.80758807549143297</v>
      </c>
      <c r="J27">
        <v>9.1316600505697093E-2</v>
      </c>
      <c r="K27">
        <v>106.55935277642401</v>
      </c>
      <c r="L27">
        <v>0.99830611910376499</v>
      </c>
      <c r="M27">
        <v>0.38030411429028899</v>
      </c>
      <c r="N27">
        <v>2.6553155135436302</v>
      </c>
      <c r="O27">
        <v>0.938652882254563</v>
      </c>
      <c r="P27">
        <v>1.9645551197319999</v>
      </c>
      <c r="Q27">
        <v>2.2782970357309198</v>
      </c>
      <c r="R27">
        <v>0.59627582982396499</v>
      </c>
      <c r="S27">
        <v>2.5943912560365798</v>
      </c>
      <c r="T27">
        <v>0.80751776777860296</v>
      </c>
      <c r="U27">
        <v>22</v>
      </c>
      <c r="V27">
        <v>179</v>
      </c>
      <c r="W27">
        <v>1797</v>
      </c>
      <c r="X27">
        <v>8987.6766095737603</v>
      </c>
      <c r="Y27">
        <f t="shared" si="8"/>
        <v>16150854.867404047</v>
      </c>
      <c r="Z27">
        <f t="shared" si="70"/>
        <v>7.3609910711477946</v>
      </c>
      <c r="AA27">
        <f t="shared" si="80"/>
        <v>6.3377103972790803</v>
      </c>
      <c r="AB27">
        <f t="shared" si="81"/>
        <v>2.0517874769579167</v>
      </c>
      <c r="AC27">
        <f t="shared" si="82"/>
        <v>3.2670528203863203</v>
      </c>
      <c r="AD27">
        <f t="shared" si="83"/>
        <v>3.4582022614623193</v>
      </c>
      <c r="AE27">
        <f t="shared" si="84"/>
        <v>1.7801232289719</v>
      </c>
      <c r="AF27">
        <f t="shared" si="85"/>
        <v>10.334462036892855</v>
      </c>
      <c r="AG27">
        <f t="shared" si="86"/>
        <v>2.5245526130766995</v>
      </c>
      <c r="AH27">
        <f t="shared" si="4"/>
        <v>14.752361412031716</v>
      </c>
      <c r="AI27">
        <f t="shared" si="79"/>
        <v>6.9687240579263854</v>
      </c>
      <c r="AJ27">
        <f t="shared" si="79"/>
        <v>4.6296050148216619</v>
      </c>
      <c r="AK27">
        <f t="shared" si="79"/>
        <v>3.6948385064954095</v>
      </c>
      <c r="AL27">
        <f t="shared" si="79"/>
        <v>2.5944664113759068</v>
      </c>
      <c r="AM27">
        <f t="shared" si="79"/>
        <v>2.3895751703221002</v>
      </c>
      <c r="AN27">
        <f t="shared" si="79"/>
        <v>6.5870344778956778</v>
      </c>
      <c r="AO27">
        <f t="shared" si="79"/>
        <v>3.6424813908642166</v>
      </c>
      <c r="AP27">
        <f t="shared" si="10"/>
        <v>0.24743606389565811</v>
      </c>
      <c r="AQ27">
        <f t="shared" si="11"/>
        <v>0.46682869241274177</v>
      </c>
      <c r="AR27">
        <f t="shared" si="12"/>
        <v>0.25000675323850419</v>
      </c>
      <c r="AS27">
        <f t="shared" si="13"/>
        <v>0.46162295866398795</v>
      </c>
      <c r="AT27">
        <f t="shared" si="14"/>
        <v>0.58884918473295123</v>
      </c>
      <c r="AU27">
        <f t="shared" si="15"/>
        <v>0.39134799473079862</v>
      </c>
      <c r="AV27">
        <f t="shared" si="16"/>
        <v>0.66274955139793912</v>
      </c>
      <c r="AW27">
        <f t="shared" si="17"/>
        <v>0.37873717263982742</v>
      </c>
      <c r="BC27">
        <f t="shared" si="18"/>
        <v>45.053921112070356</v>
      </c>
      <c r="BD27">
        <f t="shared" si="19"/>
        <v>58.088001639706114</v>
      </c>
      <c r="BE27">
        <f t="shared" si="20"/>
        <v>27.280937168794921</v>
      </c>
      <c r="BF27">
        <f t="shared" si="21"/>
        <v>33.362421392908118</v>
      </c>
      <c r="BG27">
        <f t="shared" si="22"/>
        <v>13.770307080334678</v>
      </c>
      <c r="BH27">
        <f t="shared" si="23"/>
        <v>47.945547567509877</v>
      </c>
      <c r="BI27">
        <f t="shared" si="24"/>
        <v>61.211973389576102</v>
      </c>
      <c r="BJ27">
        <f t="shared" si="25"/>
        <v>38.032369508127218</v>
      </c>
      <c r="BK27">
        <f t="shared" si="26"/>
        <v>3.5951814918410245</v>
      </c>
      <c r="BL27">
        <f t="shared" si="27"/>
        <v>-1.7577474932083941</v>
      </c>
      <c r="BM27">
        <f t="shared" si="28"/>
        <v>15.720851894860242</v>
      </c>
      <c r="BN27">
        <f t="shared" si="29"/>
        <v>0.27582434869227224</v>
      </c>
      <c r="BO27">
        <f t="shared" si="30"/>
        <v>1.1680243729533151</v>
      </c>
      <c r="BP27">
        <f t="shared" si="31"/>
        <v>24.458699185525361</v>
      </c>
      <c r="BQ27">
        <f t="shared" si="32"/>
        <v>-12.446793</v>
      </c>
      <c r="BR27">
        <f t="shared" si="33"/>
        <v>28.148732436893152</v>
      </c>
      <c r="BS27">
        <f t="shared" si="34"/>
        <v>10.409463494670531</v>
      </c>
      <c r="BT27">
        <f t="shared" si="35"/>
        <v>-1.0254430743393625</v>
      </c>
      <c r="BU27">
        <f t="shared" si="36"/>
        <v>198.73653999999999</v>
      </c>
      <c r="BV27">
        <f t="shared" si="37"/>
        <v>-95.269877999999991</v>
      </c>
      <c r="BW27">
        <f t="shared" si="38"/>
        <v>324.74547885902734</v>
      </c>
      <c r="BX27">
        <f t="shared" si="39"/>
        <v>1572.2627017341183</v>
      </c>
      <c r="BY27">
        <f t="shared" si="40"/>
        <v>1797</v>
      </c>
      <c r="BZ27">
        <v>1897.0081578591401</v>
      </c>
      <c r="CD27">
        <v>1827.0231947616401</v>
      </c>
      <c r="CG27">
        <f t="shared" si="41"/>
        <v>126.39258197146074</v>
      </c>
      <c r="CH27">
        <f t="shared" si="42"/>
        <v>170.01964933202916</v>
      </c>
      <c r="CI27">
        <f t="shared" si="43"/>
        <v>67.071022987519427</v>
      </c>
      <c r="CJ27">
        <f t="shared" si="44"/>
        <v>137.3782377448654</v>
      </c>
      <c r="CK27">
        <f t="shared" si="45"/>
        <v>87.476107297184313</v>
      </c>
      <c r="CL27">
        <f t="shared" si="46"/>
        <v>70.363800432613246</v>
      </c>
      <c r="CM27">
        <f t="shared" si="47"/>
        <v>150.60244722318268</v>
      </c>
      <c r="CN27">
        <f t="shared" si="48"/>
        <v>54.341171277907996</v>
      </c>
      <c r="CO27">
        <f t="shared" si="49"/>
        <v>589.79385624602958</v>
      </c>
      <c r="CP27">
        <f t="shared" si="50"/>
        <v>412.15874124911306</v>
      </c>
      <c r="CQ27">
        <f t="shared" si="51"/>
        <v>136.32766380419721</v>
      </c>
      <c r="CR27">
        <f t="shared" si="52"/>
        <v>40.06844130366278</v>
      </c>
      <c r="CS27">
        <f t="shared" si="53"/>
        <v>14.645877902840214</v>
      </c>
      <c r="CT27">
        <f t="shared" si="54"/>
        <v>-39.365346562791352</v>
      </c>
      <c r="CU27">
        <f t="shared" si="55"/>
        <v>73.717350999999994</v>
      </c>
      <c r="CV27">
        <f t="shared" si="56"/>
        <v>18.791399708737828</v>
      </c>
      <c r="CW27">
        <f t="shared" si="57"/>
        <v>-4.3098995823952455</v>
      </c>
      <c r="CX27">
        <f t="shared" si="58"/>
        <v>-501.16774412576416</v>
      </c>
      <c r="CY27">
        <f t="shared" si="59"/>
        <v>7.8901409999999998</v>
      </c>
      <c r="CZ27">
        <f t="shared" si="60"/>
        <v>9.0691919999999993</v>
      </c>
      <c r="DA27">
        <v>8987.6766095737603</v>
      </c>
      <c r="DB27">
        <f t="shared" si="71"/>
        <v>1135975.6526085318</v>
      </c>
      <c r="DC27">
        <f t="shared" si="72"/>
        <v>1528081.6254694115</v>
      </c>
      <c r="DD27">
        <f t="shared" si="73"/>
        <v>602812.6644851123</v>
      </c>
      <c r="DE27">
        <f t="shared" si="74"/>
        <v>1234711.17404399</v>
      </c>
      <c r="DF27">
        <f t="shared" si="75"/>
        <v>786206.96345146804</v>
      </c>
      <c r="DG27">
        <f t="shared" si="76"/>
        <v>632407.08330891409</v>
      </c>
      <c r="DH27">
        <f t="shared" si="77"/>
        <v>1353566.0922523658</v>
      </c>
      <c r="DI27">
        <f t="shared" si="78"/>
        <v>488400.87403129513</v>
      </c>
    </row>
    <row r="28" spans="1:113" x14ac:dyDescent="0.3">
      <c r="A28" s="1">
        <v>45461</v>
      </c>
      <c r="B28">
        <v>25</v>
      </c>
      <c r="C28">
        <v>1</v>
      </c>
      <c r="D28">
        <v>0.233009708737864</v>
      </c>
      <c r="E28">
        <v>0.12053668025532301</v>
      </c>
      <c r="F28">
        <v>-0.99270887409805397</v>
      </c>
      <c r="G28">
        <v>0.99734575093059497</v>
      </c>
      <c r="H28">
        <v>0.99411445063450898</v>
      </c>
      <c r="I28">
        <v>0.81810750634658302</v>
      </c>
      <c r="J28">
        <v>2.6868210176819899E-2</v>
      </c>
      <c r="K28">
        <v>87.414599726372799</v>
      </c>
      <c r="L28">
        <v>1.00100873202538</v>
      </c>
      <c r="M28">
        <v>7.5345008327331202</v>
      </c>
      <c r="N28">
        <v>10.0031440909083</v>
      </c>
      <c r="O28">
        <v>0.55282168755508299</v>
      </c>
      <c r="P28">
        <v>1.73057769756163</v>
      </c>
      <c r="Q28">
        <v>1.5014812998512901</v>
      </c>
      <c r="R28">
        <v>1.8098534951582399</v>
      </c>
      <c r="S28">
        <v>1.1517371055224701</v>
      </c>
      <c r="T28">
        <v>2.8303503479188001</v>
      </c>
      <c r="U28">
        <v>21</v>
      </c>
      <c r="V28">
        <v>189</v>
      </c>
      <c r="W28">
        <v>1989</v>
      </c>
      <c r="X28">
        <v>8976.1117583753603</v>
      </c>
      <c r="Y28">
        <f t="shared" si="8"/>
        <v>17853486.28740859</v>
      </c>
      <c r="Z28">
        <f t="shared" si="70"/>
        <v>11.951095475421797</v>
      </c>
      <c r="AA28">
        <f t="shared" si="80"/>
        <v>13.171999289547841</v>
      </c>
      <c r="AB28">
        <f t="shared" si="81"/>
        <v>1.4761260521861455</v>
      </c>
      <c r="AC28">
        <f t="shared" si="82"/>
        <v>2.7106935436775261</v>
      </c>
      <c r="AD28">
        <f t="shared" si="83"/>
        <v>2.7118520913631015</v>
      </c>
      <c r="AE28">
        <f t="shared" si="84"/>
        <v>2.69991510964419</v>
      </c>
      <c r="AF28">
        <f t="shared" si="85"/>
        <v>8.3858605313474683</v>
      </c>
      <c r="AG28">
        <f t="shared" si="86"/>
        <v>4.2188542851109849</v>
      </c>
      <c r="AH28">
        <f t="shared" si="4"/>
        <v>14.752361412031716</v>
      </c>
      <c r="AI28">
        <f t="shared" si="79"/>
        <v>6.9687240579263854</v>
      </c>
      <c r="AJ28">
        <f t="shared" si="79"/>
        <v>4.6296050148216619</v>
      </c>
      <c r="AK28">
        <f t="shared" si="79"/>
        <v>3.6948385064954095</v>
      </c>
      <c r="AL28">
        <f t="shared" si="79"/>
        <v>2.5944664113759068</v>
      </c>
      <c r="AM28">
        <f t="shared" si="79"/>
        <v>2.3895751703221002</v>
      </c>
      <c r="AN28">
        <f t="shared" si="79"/>
        <v>6.5870344778956778</v>
      </c>
      <c r="AO28">
        <f t="shared" si="79"/>
        <v>3.6424813908642166</v>
      </c>
      <c r="AP28">
        <f t="shared" si="10"/>
        <v>0.41655580952741333</v>
      </c>
      <c r="AQ28">
        <f t="shared" si="11"/>
        <v>0.70916366036844058</v>
      </c>
      <c r="AR28">
        <f t="shared" si="12"/>
        <v>0.17608245456537447</v>
      </c>
      <c r="AS28">
        <f t="shared" si="13"/>
        <v>0.40439985721988869</v>
      </c>
      <c r="AT28">
        <f t="shared" si="14"/>
        <v>0.51382489914613572</v>
      </c>
      <c r="AU28">
        <f t="shared" si="15"/>
        <v>0.54566169748269</v>
      </c>
      <c r="AV28">
        <f t="shared" si="16"/>
        <v>0.58956457809688922</v>
      </c>
      <c r="AW28">
        <f t="shared" si="17"/>
        <v>0.54941637713689528</v>
      </c>
      <c r="BC28">
        <f t="shared" si="18"/>
        <v>75.847765623756374</v>
      </c>
      <c r="BD28">
        <f t="shared" si="19"/>
        <v>88.24200512054388</v>
      </c>
      <c r="BE28">
        <f t="shared" si="20"/>
        <v>19.214258484219769</v>
      </c>
      <c r="BF28">
        <f t="shared" si="21"/>
        <v>29.226792546993654</v>
      </c>
      <c r="BG28">
        <f t="shared" si="22"/>
        <v>12.015855384045585</v>
      </c>
      <c r="BH28">
        <f t="shared" si="23"/>
        <v>66.851112627831171</v>
      </c>
      <c r="BI28">
        <f t="shared" si="24"/>
        <v>54.452562343923248</v>
      </c>
      <c r="BJ28">
        <f t="shared" si="25"/>
        <v>55.17178713523942</v>
      </c>
      <c r="BK28">
        <f t="shared" si="26"/>
        <v>3.5905554087284952</v>
      </c>
      <c r="BL28">
        <f t="shared" si="27"/>
        <v>-1.754360494413898</v>
      </c>
      <c r="BM28">
        <f t="shared" si="28"/>
        <v>15.925627596125276</v>
      </c>
      <c r="BN28">
        <f t="shared" si="29"/>
        <v>8.1156181148969456E-2</v>
      </c>
      <c r="BO28">
        <f t="shared" si="30"/>
        <v>0.58830156727195115</v>
      </c>
      <c r="BP28">
        <f t="shared" si="31"/>
        <v>25.007026471197481</v>
      </c>
      <c r="BQ28">
        <f t="shared" si="32"/>
        <v>-12.446793</v>
      </c>
      <c r="BR28">
        <f t="shared" si="33"/>
        <v>29.37259036893203</v>
      </c>
      <c r="BS28">
        <f t="shared" si="34"/>
        <v>8.5392700034701789</v>
      </c>
      <c r="BT28">
        <f t="shared" si="35"/>
        <v>-1.0282191523880257</v>
      </c>
      <c r="BU28">
        <f t="shared" si="36"/>
        <v>209.83914000000001</v>
      </c>
      <c r="BV28">
        <f t="shared" si="37"/>
        <v>-90.93942899999999</v>
      </c>
      <c r="BW28">
        <f t="shared" si="38"/>
        <v>401.02213926655315</v>
      </c>
      <c r="BX28">
        <f t="shared" si="39"/>
        <v>1587.0241120263026</v>
      </c>
      <c r="BY28">
        <f t="shared" si="40"/>
        <v>1989</v>
      </c>
      <c r="BZ28">
        <v>1988.0462325870701</v>
      </c>
      <c r="CD28">
        <v>1953.32199321232</v>
      </c>
      <c r="CG28">
        <f t="shared" si="41"/>
        <v>212.780479419458</v>
      </c>
      <c r="CH28">
        <f t="shared" si="42"/>
        <v>258.27837666040074</v>
      </c>
      <c r="CI28">
        <f t="shared" si="43"/>
        <v>47.238845370654502</v>
      </c>
      <c r="CJ28">
        <f t="shared" si="44"/>
        <v>120.34873631487233</v>
      </c>
      <c r="CK28">
        <f t="shared" si="45"/>
        <v>76.330923392644848</v>
      </c>
      <c r="CL28">
        <f t="shared" si="46"/>
        <v>98.109179815279518</v>
      </c>
      <c r="CM28">
        <f t="shared" si="47"/>
        <v>133.97197790660147</v>
      </c>
      <c r="CN28">
        <f t="shared" si="48"/>
        <v>78.830206300547644</v>
      </c>
      <c r="CO28">
        <f t="shared" si="49"/>
        <v>589.03494173658271</v>
      </c>
      <c r="CP28">
        <f t="shared" si="50"/>
        <v>411.36455370787314</v>
      </c>
      <c r="CQ28">
        <f t="shared" si="51"/>
        <v>138.10343226407662</v>
      </c>
      <c r="CR28">
        <f t="shared" si="52"/>
        <v>11.789393127235588</v>
      </c>
      <c r="CS28">
        <f t="shared" si="53"/>
        <v>7.3767235717254307</v>
      </c>
      <c r="CT28">
        <f t="shared" si="54"/>
        <v>-40.247858484892731</v>
      </c>
      <c r="CU28">
        <f t="shared" si="55"/>
        <v>73.717350999999994</v>
      </c>
      <c r="CV28">
        <f t="shared" si="56"/>
        <v>19.608417087378633</v>
      </c>
      <c r="CW28">
        <f t="shared" si="57"/>
        <v>-3.5355709005328744</v>
      </c>
      <c r="CX28">
        <f t="shared" si="58"/>
        <v>-502.52450473781659</v>
      </c>
      <c r="CY28">
        <f t="shared" si="59"/>
        <v>8.3309309999999996</v>
      </c>
      <c r="CZ28">
        <f t="shared" si="60"/>
        <v>8.6569559999999992</v>
      </c>
      <c r="DA28">
        <v>8976.1117583753603</v>
      </c>
      <c r="DB28">
        <f t="shared" si="71"/>
        <v>1909941.3632697433</v>
      </c>
      <c r="DC28">
        <f t="shared" si="72"/>
        <v>2318335.5736755235</v>
      </c>
      <c r="DD28">
        <f t="shared" si="73"/>
        <v>424021.15538360731</v>
      </c>
      <c r="DE28">
        <f t="shared" si="74"/>
        <v>1080263.7071415412</v>
      </c>
      <c r="DF28">
        <f t="shared" si="75"/>
        <v>685154.89899236825</v>
      </c>
      <c r="DG28">
        <f t="shared" si="76"/>
        <v>880638.96254449303</v>
      </c>
      <c r="DH28">
        <f t="shared" si="77"/>
        <v>1202547.4461802493</v>
      </c>
      <c r="DI28">
        <f t="shared" si="78"/>
        <v>707588.7416895011</v>
      </c>
    </row>
    <row r="29" spans="1:113" x14ac:dyDescent="0.3">
      <c r="A29" s="1">
        <v>45468</v>
      </c>
      <c r="B29">
        <v>26</v>
      </c>
      <c r="C29">
        <v>1</v>
      </c>
      <c r="D29">
        <v>0.242718446601941</v>
      </c>
      <c r="E29" s="2">
        <v>-3.2162452993532702E-16</v>
      </c>
      <c r="F29">
        <v>-1</v>
      </c>
      <c r="G29">
        <v>0.99628935027913101</v>
      </c>
      <c r="H29">
        <v>0.991334722810292</v>
      </c>
      <c r="I29">
        <v>0.82846630319917303</v>
      </c>
      <c r="J29">
        <v>5.39576710736576E-2</v>
      </c>
      <c r="K29">
        <v>94.013375154737702</v>
      </c>
      <c r="L29">
        <v>1.0003911078988501</v>
      </c>
      <c r="M29">
        <v>2.3757602319577802</v>
      </c>
      <c r="N29">
        <v>0.396255139376403</v>
      </c>
      <c r="O29">
        <v>1.9488621565730899</v>
      </c>
      <c r="P29">
        <v>1.25625866599796</v>
      </c>
      <c r="Q29">
        <v>2.3157053443980402</v>
      </c>
      <c r="R29">
        <v>0.27422111311816399</v>
      </c>
      <c r="S29">
        <v>0.62822171669791704</v>
      </c>
      <c r="T29">
        <v>0.51883770484537695</v>
      </c>
      <c r="U29">
        <v>30</v>
      </c>
      <c r="V29">
        <v>161</v>
      </c>
      <c r="W29">
        <v>1779</v>
      </c>
      <c r="X29">
        <v>8966.60415251218</v>
      </c>
      <c r="Y29">
        <f t="shared" si="8"/>
        <v>15951588.787319168</v>
      </c>
      <c r="Z29">
        <f t="shared" si="70"/>
        <v>9.5464175172108572</v>
      </c>
      <c r="AA29">
        <f t="shared" si="80"/>
        <v>6.9822547841503235</v>
      </c>
      <c r="AB29">
        <f t="shared" si="81"/>
        <v>2.6131188800568554</v>
      </c>
      <c r="AC29">
        <f t="shared" si="82"/>
        <v>2.0694667291012179</v>
      </c>
      <c r="AD29">
        <f t="shared" si="83"/>
        <v>3.2648535763751259</v>
      </c>
      <c r="AE29">
        <f t="shared" si="84"/>
        <v>1.624178667940259</v>
      </c>
      <c r="AF29">
        <f t="shared" si="85"/>
        <v>6.4983240886411444</v>
      </c>
      <c r="AG29">
        <f t="shared" si="86"/>
        <v>2.8392075616564192</v>
      </c>
      <c r="AH29">
        <f t="shared" si="4"/>
        <v>14.752361412031716</v>
      </c>
      <c r="AI29">
        <f t="shared" si="79"/>
        <v>6.9687240579263854</v>
      </c>
      <c r="AJ29">
        <f t="shared" si="79"/>
        <v>4.6296050148216619</v>
      </c>
      <c r="AK29">
        <f t="shared" si="79"/>
        <v>3.6948385064954095</v>
      </c>
      <c r="AL29">
        <f t="shared" si="79"/>
        <v>2.5944664113759068</v>
      </c>
      <c r="AM29">
        <f t="shared" si="79"/>
        <v>2.3895751703221002</v>
      </c>
      <c r="AN29">
        <f t="shared" si="79"/>
        <v>6.5870344778956778</v>
      </c>
      <c r="AO29">
        <f t="shared" si="79"/>
        <v>3.6424813908642166</v>
      </c>
      <c r="AP29">
        <f t="shared" si="10"/>
        <v>0.33261541926797528</v>
      </c>
      <c r="AQ29">
        <f t="shared" si="11"/>
        <v>0.50067891333023606</v>
      </c>
      <c r="AR29">
        <f t="shared" si="12"/>
        <v>0.31602467443618376</v>
      </c>
      <c r="AS29">
        <f t="shared" si="13"/>
        <v>0.32639021058501921</v>
      </c>
      <c r="AT29">
        <f t="shared" si="14"/>
        <v>0.57133317602076705</v>
      </c>
      <c r="AU29">
        <f t="shared" si="15"/>
        <v>0.35912359523943915</v>
      </c>
      <c r="AV29">
        <f t="shared" si="16"/>
        <v>0.49491557548660481</v>
      </c>
      <c r="AW29">
        <f t="shared" si="17"/>
        <v>0.4166989969391815</v>
      </c>
      <c r="BC29">
        <f t="shared" si="18"/>
        <v>60.563640661035116</v>
      </c>
      <c r="BD29">
        <f t="shared" si="19"/>
        <v>62.300021423660063</v>
      </c>
      <c r="BE29">
        <f t="shared" si="20"/>
        <v>34.484865610240597</v>
      </c>
      <c r="BF29">
        <f t="shared" si="21"/>
        <v>23.588878195253667</v>
      </c>
      <c r="BG29">
        <f t="shared" si="22"/>
        <v>13.360693167227232</v>
      </c>
      <c r="BH29">
        <f t="shared" si="23"/>
        <v>43.997612483007387</v>
      </c>
      <c r="BI29">
        <f t="shared" si="24"/>
        <v>45.710719792826708</v>
      </c>
      <c r="BJ29">
        <f t="shared" si="25"/>
        <v>41.844454070337981</v>
      </c>
      <c r="BK29">
        <f t="shared" si="26"/>
        <v>3.5867522491227528</v>
      </c>
      <c r="BL29">
        <f t="shared" si="27"/>
        <v>-1.7494549780752944</v>
      </c>
      <c r="BM29">
        <f t="shared" si="28"/>
        <v>16.127276327787659</v>
      </c>
      <c r="BN29">
        <f t="shared" si="29"/>
        <v>0.16298065629277284</v>
      </c>
      <c r="BO29">
        <f t="shared" si="30"/>
        <v>-1.5697480188874015E-15</v>
      </c>
      <c r="BP29">
        <f t="shared" si="31"/>
        <v>25.190695000000002</v>
      </c>
      <c r="BQ29">
        <f t="shared" si="32"/>
        <v>-12.446793</v>
      </c>
      <c r="BR29">
        <f t="shared" si="33"/>
        <v>30.596448300970781</v>
      </c>
      <c r="BS29">
        <f t="shared" si="34"/>
        <v>9.1838845787408623</v>
      </c>
      <c r="BT29">
        <f t="shared" si="35"/>
        <v>-1.0275847393848645</v>
      </c>
      <c r="BU29">
        <f t="shared" si="36"/>
        <v>178.75185999999999</v>
      </c>
      <c r="BV29">
        <f t="shared" si="37"/>
        <v>-129.91346999999999</v>
      </c>
      <c r="BW29">
        <f t="shared" si="38"/>
        <v>325.85088540358873</v>
      </c>
      <c r="BX29">
        <f t="shared" si="39"/>
        <v>1518.7118404716848</v>
      </c>
      <c r="BY29">
        <f t="shared" si="40"/>
        <v>1779</v>
      </c>
      <c r="BZ29">
        <v>1844.5627041006001</v>
      </c>
      <c r="CD29">
        <v>1790.82010171915</v>
      </c>
      <c r="CG29">
        <f t="shared" si="41"/>
        <v>169.90296799470323</v>
      </c>
      <c r="CH29">
        <f t="shared" si="42"/>
        <v>182.34794616498323</v>
      </c>
      <c r="CI29">
        <f t="shared" si="43"/>
        <v>84.78210259989153</v>
      </c>
      <c r="CJ29">
        <f t="shared" si="44"/>
        <v>97.133193022107406</v>
      </c>
      <c r="CK29">
        <f t="shared" si="45"/>
        <v>84.87402802586746</v>
      </c>
      <c r="CL29">
        <f t="shared" si="46"/>
        <v>64.569900258343679</v>
      </c>
      <c r="CM29">
        <f t="shared" si="47"/>
        <v>112.46404721049542</v>
      </c>
      <c r="CN29">
        <f t="shared" si="48"/>
        <v>59.787929994235064</v>
      </c>
      <c r="CO29">
        <f t="shared" si="49"/>
        <v>588.41102882011921</v>
      </c>
      <c r="CP29">
        <f t="shared" si="50"/>
        <v>410.21430235089053</v>
      </c>
      <c r="CQ29">
        <f t="shared" si="51"/>
        <v>139.85208435242814</v>
      </c>
      <c r="CR29">
        <f t="shared" si="52"/>
        <v>23.675867961842371</v>
      </c>
      <c r="CS29">
        <f t="shared" si="53"/>
        <v>-1.96830976777649E-14</v>
      </c>
      <c r="CT29">
        <f t="shared" si="54"/>
        <v>-40.543466000000002</v>
      </c>
      <c r="CU29">
        <f t="shared" si="55"/>
        <v>73.717350999999994</v>
      </c>
      <c r="CV29">
        <f t="shared" si="56"/>
        <v>20.425434466019354</v>
      </c>
      <c r="CW29">
        <f t="shared" si="57"/>
        <v>-3.8024649715085213</v>
      </c>
      <c r="CX29">
        <f t="shared" si="58"/>
        <v>-502.21444624544904</v>
      </c>
      <c r="CY29">
        <f t="shared" si="59"/>
        <v>7.0967190000000002</v>
      </c>
      <c r="CZ29">
        <f t="shared" si="60"/>
        <v>12.36708</v>
      </c>
      <c r="DA29">
        <v>8966.60415251218</v>
      </c>
      <c r="DB29">
        <f t="shared" si="71"/>
        <v>1523452.6583454499</v>
      </c>
      <c r="DC29">
        <f t="shared" si="72"/>
        <v>1635041.8512850062</v>
      </c>
      <c r="DD29">
        <f t="shared" si="73"/>
        <v>760207.55323090113</v>
      </c>
      <c r="DE29">
        <f t="shared" si="74"/>
        <v>870954.89189879538</v>
      </c>
      <c r="DF29">
        <f t="shared" si="75"/>
        <v>761031.81213717826</v>
      </c>
      <c r="DG29">
        <f t="shared" si="76"/>
        <v>578972.73578376172</v>
      </c>
      <c r="DH29">
        <f t="shared" si="77"/>
        <v>1008420.5927259541</v>
      </c>
      <c r="DI29">
        <f t="shared" si="78"/>
        <v>536094.70135641564</v>
      </c>
    </row>
    <row r="30" spans="1:113" x14ac:dyDescent="0.3">
      <c r="A30" s="1">
        <v>45475</v>
      </c>
      <c r="B30">
        <v>27</v>
      </c>
      <c r="C30">
        <v>1</v>
      </c>
      <c r="D30">
        <v>0.25242718446601897</v>
      </c>
      <c r="E30">
        <v>-0.12053668025532201</v>
      </c>
      <c r="F30">
        <v>-0.99270887409805397</v>
      </c>
      <c r="G30">
        <v>0.99788627783579098</v>
      </c>
      <c r="H30">
        <v>0.99016529340082504</v>
      </c>
      <c r="I30">
        <v>0.81057323929246605</v>
      </c>
      <c r="J30">
        <v>8.7713821497772099E-2</v>
      </c>
      <c r="K30">
        <v>36.080025214162802</v>
      </c>
      <c r="L30">
        <v>0.99984573296339796</v>
      </c>
      <c r="M30">
        <v>1.7630728476139099</v>
      </c>
      <c r="N30">
        <v>1.2979380114832799</v>
      </c>
      <c r="O30">
        <v>1.12355632905266</v>
      </c>
      <c r="P30">
        <v>6.1902251982358196</v>
      </c>
      <c r="Q30">
        <v>2.9613352514787898</v>
      </c>
      <c r="R30">
        <v>0.55783995557275301</v>
      </c>
      <c r="S30">
        <v>1.11593576308575</v>
      </c>
      <c r="T30">
        <v>0.52798655622368296</v>
      </c>
      <c r="U30">
        <v>22</v>
      </c>
      <c r="V30">
        <v>156</v>
      </c>
      <c r="W30">
        <v>1789</v>
      </c>
      <c r="X30">
        <v>8980.9765005221107</v>
      </c>
      <c r="Y30">
        <f t="shared" si="8"/>
        <v>16066966.959434057</v>
      </c>
      <c r="Z30">
        <f t="shared" si="70"/>
        <v>7.4909233579404244</v>
      </c>
      <c r="AA30">
        <f t="shared" si="80"/>
        <v>4.7890654035584417</v>
      </c>
      <c r="AB30">
        <f t="shared" si="81"/>
        <v>2.299459825078245</v>
      </c>
      <c r="AC30">
        <f t="shared" si="82"/>
        <v>6.8110652169661847</v>
      </c>
      <c r="AD30">
        <f t="shared" si="83"/>
        <v>4.1040340032100833</v>
      </c>
      <c r="AE30">
        <f t="shared" si="84"/>
        <v>1.3699292895428825</v>
      </c>
      <c r="AF30">
        <f t="shared" si="85"/>
        <v>5.66476262513455</v>
      </c>
      <c r="AG30">
        <f t="shared" si="86"/>
        <v>2.0895507151347137</v>
      </c>
      <c r="AH30">
        <f t="shared" si="4"/>
        <v>14.752361412031716</v>
      </c>
      <c r="AI30">
        <f t="shared" si="79"/>
        <v>6.9687240579263854</v>
      </c>
      <c r="AJ30">
        <f t="shared" si="79"/>
        <v>4.6296050148216619</v>
      </c>
      <c r="AK30">
        <f t="shared" si="79"/>
        <v>3.6948385064954095</v>
      </c>
      <c r="AL30">
        <f t="shared" si="79"/>
        <v>2.5944664113759068</v>
      </c>
      <c r="AM30">
        <f t="shared" si="79"/>
        <v>2.3895751703221002</v>
      </c>
      <c r="AN30">
        <f t="shared" si="79"/>
        <v>6.5870344778956778</v>
      </c>
      <c r="AO30">
        <f t="shared" si="79"/>
        <v>3.6424813908642166</v>
      </c>
      <c r="AP30">
        <f t="shared" si="10"/>
        <v>0.25268601481601455</v>
      </c>
      <c r="AQ30">
        <f t="shared" si="11"/>
        <v>0.37165214145821185</v>
      </c>
      <c r="AR30">
        <f t="shared" si="12"/>
        <v>0.2799466254404534</v>
      </c>
      <c r="AS30">
        <f t="shared" si="13"/>
        <v>0.68233309879370385</v>
      </c>
      <c r="AT30">
        <f t="shared" si="14"/>
        <v>0.63950973682565015</v>
      </c>
      <c r="AU30">
        <f t="shared" si="15"/>
        <v>0.30268708462577909</v>
      </c>
      <c r="AV30">
        <f t="shared" si="16"/>
        <v>0.44367573184556847</v>
      </c>
      <c r="AW30">
        <f t="shared" si="17"/>
        <v>0.32077408420218501</v>
      </c>
      <c r="BC30">
        <f t="shared" si="18"/>
        <v>46.00984835599759</v>
      </c>
      <c r="BD30">
        <f t="shared" si="19"/>
        <v>46.245079947523067</v>
      </c>
      <c r="BE30">
        <f t="shared" si="20"/>
        <v>30.548000005309252</v>
      </c>
      <c r="BF30">
        <f t="shared" si="21"/>
        <v>49.313587951015045</v>
      </c>
      <c r="BG30">
        <f t="shared" si="22"/>
        <v>14.955010018307037</v>
      </c>
      <c r="BH30">
        <f t="shared" si="23"/>
        <v>37.083358569344583</v>
      </c>
      <c r="BI30">
        <f t="shared" si="24"/>
        <v>40.97817498940082</v>
      </c>
      <c r="BJ30">
        <f t="shared" si="25"/>
        <v>32.211780042542628</v>
      </c>
      <c r="BK30">
        <f t="shared" si="26"/>
        <v>3.5925013655856874</v>
      </c>
      <c r="BL30">
        <f t="shared" si="27"/>
        <v>-1.7473912310332258</v>
      </c>
      <c r="BM30">
        <f t="shared" si="28"/>
        <v>15.778962359120603</v>
      </c>
      <c r="BN30">
        <f t="shared" si="29"/>
        <v>0.26494205382102259</v>
      </c>
      <c r="BO30">
        <f t="shared" si="30"/>
        <v>-0.58830156727194627</v>
      </c>
      <c r="BP30">
        <f t="shared" si="31"/>
        <v>25.007026471197481</v>
      </c>
      <c r="BQ30">
        <f t="shared" si="32"/>
        <v>-12.446793</v>
      </c>
      <c r="BR30">
        <f t="shared" si="33"/>
        <v>31.820306233009653</v>
      </c>
      <c r="BS30">
        <f t="shared" si="34"/>
        <v>3.5245494230959213</v>
      </c>
      <c r="BT30">
        <f t="shared" si="35"/>
        <v>-1.0270245395225419</v>
      </c>
      <c r="BU30">
        <f t="shared" si="36"/>
        <v>173.20056</v>
      </c>
      <c r="BV30">
        <f t="shared" si="37"/>
        <v>-95.269877999999991</v>
      </c>
      <c r="BW30">
        <f t="shared" si="38"/>
        <v>297.34483987944003</v>
      </c>
      <c r="BX30">
        <f t="shared" si="39"/>
        <v>1542.3587056442327</v>
      </c>
      <c r="BY30">
        <f t="shared" si="40"/>
        <v>1789</v>
      </c>
      <c r="BZ30">
        <v>1839.7035365311499</v>
      </c>
      <c r="CD30">
        <v>1778.9075987152401</v>
      </c>
      <c r="CG30">
        <f t="shared" si="41"/>
        <v>129.0743044398844</v>
      </c>
      <c r="CH30">
        <f t="shared" si="42"/>
        <v>135.35621908251454</v>
      </c>
      <c r="CI30">
        <f t="shared" si="43"/>
        <v>75.103197441561562</v>
      </c>
      <c r="CJ30">
        <f t="shared" si="44"/>
        <v>203.06121458638975</v>
      </c>
      <c r="CK30">
        <f t="shared" si="45"/>
        <v>95.001952633295787</v>
      </c>
      <c r="CL30">
        <f t="shared" si="46"/>
        <v>54.422697708694031</v>
      </c>
      <c r="CM30">
        <f t="shared" si="47"/>
        <v>100.82036396484682</v>
      </c>
      <c r="CN30">
        <f t="shared" si="48"/>
        <v>46.024633203146998</v>
      </c>
      <c r="CO30">
        <f t="shared" si="49"/>
        <v>589.35417830405402</v>
      </c>
      <c r="CP30">
        <f t="shared" si="50"/>
        <v>409.73039246826966</v>
      </c>
      <c r="CQ30">
        <f t="shared" si="51"/>
        <v>136.83158457695015</v>
      </c>
      <c r="CR30">
        <f t="shared" si="52"/>
        <v>38.487592494030352</v>
      </c>
      <c r="CS30">
        <f t="shared" si="53"/>
        <v>-7.3767235717253694</v>
      </c>
      <c r="CT30">
        <f t="shared" si="54"/>
        <v>-40.247858484892731</v>
      </c>
      <c r="CU30">
        <f t="shared" si="55"/>
        <v>73.717350999999994</v>
      </c>
      <c r="CV30">
        <f t="shared" si="56"/>
        <v>21.242451844660156</v>
      </c>
      <c r="CW30">
        <f t="shared" si="57"/>
        <v>-1.4592926998120288</v>
      </c>
      <c r="CX30">
        <f t="shared" si="58"/>
        <v>-501.94065815492962</v>
      </c>
      <c r="CY30">
        <f t="shared" si="59"/>
        <v>6.8763240000000003</v>
      </c>
      <c r="CZ30">
        <f t="shared" si="60"/>
        <v>9.0691919999999993</v>
      </c>
      <c r="DA30">
        <v>8980.9765005221107</v>
      </c>
      <c r="DB30">
        <f t="shared" si="71"/>
        <v>1159213.2949958385</v>
      </c>
      <c r="DC30">
        <f t="shared" si="72"/>
        <v>1215631.0227795856</v>
      </c>
      <c r="DD30">
        <f t="shared" si="73"/>
        <v>674500.05133673665</v>
      </c>
      <c r="DE30">
        <f t="shared" si="74"/>
        <v>1823687.9963678441</v>
      </c>
      <c r="DF30">
        <f t="shared" si="75"/>
        <v>853210.3041033441</v>
      </c>
      <c r="DG30">
        <f t="shared" si="76"/>
        <v>488768.9692167996</v>
      </c>
      <c r="DH30">
        <f t="shared" si="77"/>
        <v>905465.31954237551</v>
      </c>
      <c r="DI30">
        <f t="shared" si="78"/>
        <v>413346.14924261288</v>
      </c>
    </row>
    <row r="31" spans="1:113" x14ac:dyDescent="0.3">
      <c r="A31" s="1">
        <v>45482</v>
      </c>
      <c r="B31">
        <v>28</v>
      </c>
      <c r="C31">
        <v>1</v>
      </c>
      <c r="D31">
        <v>0.26213592233009703</v>
      </c>
      <c r="E31">
        <v>-0.23931566428755699</v>
      </c>
      <c r="F31">
        <v>-0.97094181742605201</v>
      </c>
      <c r="G31">
        <v>0.998982610028883</v>
      </c>
      <c r="H31">
        <v>0.98603523495815604</v>
      </c>
      <c r="I31">
        <v>0.812778923948836</v>
      </c>
      <c r="J31">
        <v>3.35507147915323E-2</v>
      </c>
      <c r="K31">
        <v>68.473968669519607</v>
      </c>
      <c r="L31">
        <v>0.99812192696761604</v>
      </c>
      <c r="M31">
        <v>0.41037211999843198</v>
      </c>
      <c r="N31">
        <v>2.5912463013964899</v>
      </c>
      <c r="O31">
        <v>1.68074606632054</v>
      </c>
      <c r="P31">
        <v>0.71368130723284595</v>
      </c>
      <c r="Q31">
        <v>1.8265313293721499</v>
      </c>
      <c r="R31">
        <v>3.06520139297798</v>
      </c>
      <c r="S31">
        <v>3.52259338149132</v>
      </c>
      <c r="T31">
        <v>2.0335566070751798</v>
      </c>
      <c r="U31">
        <v>16</v>
      </c>
      <c r="V31">
        <v>138</v>
      </c>
      <c r="W31">
        <v>1695</v>
      </c>
      <c r="X31">
        <v>8990.8434902599492</v>
      </c>
      <c r="Y31">
        <f t="shared" si="8"/>
        <v>15239479.715990614</v>
      </c>
      <c r="Z31">
        <f t="shared" si="70"/>
        <v>4.9049261347626869</v>
      </c>
      <c r="AA31">
        <f t="shared" si="80"/>
        <v>4.9857790031757112</v>
      </c>
      <c r="AB31">
        <f t="shared" si="81"/>
        <v>2.7155029876057504</v>
      </c>
      <c r="AC31">
        <f t="shared" si="82"/>
        <v>2.7570008723227013</v>
      </c>
      <c r="AD31">
        <f t="shared" si="83"/>
        <v>3.2629432304956789</v>
      </c>
      <c r="AE31">
        <f t="shared" si="84"/>
        <v>3.7501660377494215</v>
      </c>
      <c r="AF31">
        <f t="shared" si="85"/>
        <v>7.4879272190855044</v>
      </c>
      <c r="AG31">
        <f t="shared" si="86"/>
        <v>3.1828095003992725</v>
      </c>
      <c r="AH31">
        <f t="shared" si="4"/>
        <v>14.752361412031716</v>
      </c>
      <c r="AI31">
        <f t="shared" si="79"/>
        <v>6.9687240579263854</v>
      </c>
      <c r="AJ31">
        <f t="shared" si="79"/>
        <v>4.6296050148216619</v>
      </c>
      <c r="AK31">
        <f t="shared" si="79"/>
        <v>3.6948385064954095</v>
      </c>
      <c r="AL31">
        <f t="shared" si="79"/>
        <v>2.5944664113759068</v>
      </c>
      <c r="AM31">
        <f t="shared" si="79"/>
        <v>2.3895751703221002</v>
      </c>
      <c r="AN31">
        <f t="shared" si="79"/>
        <v>6.5870344778956778</v>
      </c>
      <c r="AO31">
        <f t="shared" si="79"/>
        <v>3.6424813908642166</v>
      </c>
      <c r="AP31">
        <f t="shared" si="10"/>
        <v>0.14655741447611645</v>
      </c>
      <c r="AQ31">
        <f t="shared" si="11"/>
        <v>0.38490516508879968</v>
      </c>
      <c r="AR31">
        <f t="shared" si="12"/>
        <v>0.32734511610118466</v>
      </c>
      <c r="AS31">
        <f t="shared" si="13"/>
        <v>0.40950991025574673</v>
      </c>
      <c r="AT31">
        <f t="shared" si="14"/>
        <v>0.57115398453825095</v>
      </c>
      <c r="AU31">
        <f t="shared" si="15"/>
        <v>0.66285133927525797</v>
      </c>
      <c r="AV31">
        <f t="shared" si="16"/>
        <v>0.54792322703102658</v>
      </c>
      <c r="AW31">
        <f t="shared" si="17"/>
        <v>0.45459638202523994</v>
      </c>
      <c r="BC31">
        <f t="shared" si="18"/>
        <v>26.685625717762697</v>
      </c>
      <c r="BD31">
        <f t="shared" si="19"/>
        <v>47.894168083913797</v>
      </c>
      <c r="BE31">
        <f t="shared" si="20"/>
        <v>35.720161272399267</v>
      </c>
      <c r="BF31">
        <f t="shared" si="21"/>
        <v>29.596106376651981</v>
      </c>
      <c r="BG31">
        <f t="shared" si="22"/>
        <v>13.356502753443189</v>
      </c>
      <c r="BH31">
        <f t="shared" si="23"/>
        <v>81.208466238011368</v>
      </c>
      <c r="BI31">
        <f t="shared" si="24"/>
        <v>50.606540467374145</v>
      </c>
      <c r="BJ31">
        <f t="shared" si="25"/>
        <v>45.650067717761601</v>
      </c>
      <c r="BK31">
        <f t="shared" si="26"/>
        <v>3.5964482831736921</v>
      </c>
      <c r="BL31">
        <f t="shared" si="27"/>
        <v>-1.740102722786701</v>
      </c>
      <c r="BM31">
        <f t="shared" si="28"/>
        <v>15.821899151851795</v>
      </c>
      <c r="BN31">
        <f t="shared" si="29"/>
        <v>0.10134087344783747</v>
      </c>
      <c r="BO31">
        <f t="shared" si="30"/>
        <v>-1.1680243729533151</v>
      </c>
      <c r="BP31">
        <f t="shared" si="31"/>
        <v>24.458699185525361</v>
      </c>
      <c r="BQ31">
        <f t="shared" si="32"/>
        <v>-12.446793</v>
      </c>
      <c r="BR31">
        <f t="shared" si="33"/>
        <v>33.044164165048535</v>
      </c>
      <c r="BS31">
        <f t="shared" si="34"/>
        <v>6.6890165774193617</v>
      </c>
      <c r="BT31">
        <f t="shared" si="35"/>
        <v>-1.0252538753083766</v>
      </c>
      <c r="BU31">
        <f t="shared" si="36"/>
        <v>153.21588</v>
      </c>
      <c r="BV31">
        <f t="shared" si="37"/>
        <v>-69.287183999999996</v>
      </c>
      <c r="BW31">
        <f t="shared" si="38"/>
        <v>330.71763862731802</v>
      </c>
      <c r="BX31">
        <f t="shared" si="39"/>
        <v>1551.5093363416483</v>
      </c>
      <c r="BY31">
        <f t="shared" si="40"/>
        <v>1695</v>
      </c>
      <c r="BZ31">
        <v>1882.2269601539799</v>
      </c>
      <c r="CD31">
        <v>1724.80297366121</v>
      </c>
      <c r="CG31">
        <f t="shared" si="41"/>
        <v>74.86285439178836</v>
      </c>
      <c r="CH31">
        <f t="shared" si="42"/>
        <v>140.18298844541701</v>
      </c>
      <c r="CI31">
        <f t="shared" si="43"/>
        <v>87.819114973784522</v>
      </c>
      <c r="CJ31">
        <f t="shared" si="44"/>
        <v>121.86947974340696</v>
      </c>
      <c r="CK31">
        <f t="shared" si="45"/>
        <v>84.847408351835938</v>
      </c>
      <c r="CL31">
        <f t="shared" si="46"/>
        <v>119.17970701584407</v>
      </c>
      <c r="CM31">
        <f t="shared" si="47"/>
        <v>124.50944509466585</v>
      </c>
      <c r="CN31">
        <f t="shared" si="48"/>
        <v>65.225442978746841</v>
      </c>
      <c r="CO31">
        <f t="shared" si="49"/>
        <v>590.00167489074863</v>
      </c>
      <c r="CP31">
        <f t="shared" si="50"/>
        <v>408.02137430947357</v>
      </c>
      <c r="CQ31">
        <f t="shared" si="51"/>
        <v>137.20392270998747</v>
      </c>
      <c r="CR31">
        <f t="shared" si="52"/>
        <v>14.721582262981553</v>
      </c>
      <c r="CS31">
        <f t="shared" si="53"/>
        <v>-14.645877902840214</v>
      </c>
      <c r="CT31">
        <f t="shared" si="54"/>
        <v>-39.365346562791352</v>
      </c>
      <c r="CU31">
        <f t="shared" si="55"/>
        <v>73.717350999999994</v>
      </c>
      <c r="CV31">
        <f t="shared" si="56"/>
        <v>22.059469223300965</v>
      </c>
      <c r="CW31">
        <f t="shared" si="57"/>
        <v>-2.7694981368073903</v>
      </c>
      <c r="CX31">
        <f t="shared" si="58"/>
        <v>-501.07527633898712</v>
      </c>
      <c r="CY31">
        <f t="shared" si="59"/>
        <v>6.0829019999999998</v>
      </c>
      <c r="CZ31">
        <f t="shared" si="60"/>
        <v>6.5957759999999999</v>
      </c>
      <c r="DA31">
        <v>8990.8434902599492</v>
      </c>
      <c r="DB31">
        <f t="shared" si="71"/>
        <v>673080.20707068883</v>
      </c>
      <c r="DC31">
        <f t="shared" si="72"/>
        <v>1260363.3091096631</v>
      </c>
      <c r="DD31">
        <f t="shared" si="73"/>
        <v>789567.91818244057</v>
      </c>
      <c r="DE31">
        <f t="shared" si="74"/>
        <v>1095709.4186123773</v>
      </c>
      <c r="DF31">
        <f t="shared" si="75"/>
        <v>762849.76904553175</v>
      </c>
      <c r="DG31">
        <f t="shared" si="76"/>
        <v>1071526.0929944897</v>
      </c>
      <c r="DH31">
        <f t="shared" si="77"/>
        <v>1119444.933905255</v>
      </c>
      <c r="DI31">
        <f t="shared" si="78"/>
        <v>586431.74940478755</v>
      </c>
    </row>
    <row r="32" spans="1:113" x14ac:dyDescent="0.3">
      <c r="A32" s="1">
        <v>45489</v>
      </c>
      <c r="B32">
        <v>29</v>
      </c>
      <c r="C32">
        <v>1</v>
      </c>
      <c r="D32">
        <v>0.27184466019417403</v>
      </c>
      <c r="E32">
        <v>-0.35460488704253501</v>
      </c>
      <c r="F32">
        <v>-0.93501624268541395</v>
      </c>
      <c r="G32">
        <v>1.0002208078636701</v>
      </c>
      <c r="H32">
        <v>0.987940687798599</v>
      </c>
      <c r="I32">
        <v>0.79930380873173901</v>
      </c>
      <c r="J32">
        <v>3.0934038918430499E-2</v>
      </c>
      <c r="K32">
        <v>117.708952329711</v>
      </c>
      <c r="L32">
        <v>0.99525973134777801</v>
      </c>
      <c r="M32">
        <v>7.1040313315124903</v>
      </c>
      <c r="N32">
        <v>5.5371667352945497</v>
      </c>
      <c r="O32">
        <v>1.46758519852633</v>
      </c>
      <c r="P32">
        <v>5.6321313271606099</v>
      </c>
      <c r="Q32">
        <v>4.4067320901722997</v>
      </c>
      <c r="R32">
        <v>1.08595104785617</v>
      </c>
      <c r="S32">
        <v>3.1374695741866598</v>
      </c>
      <c r="T32">
        <v>1.9034575351601</v>
      </c>
      <c r="U32">
        <v>15</v>
      </c>
      <c r="V32">
        <v>164</v>
      </c>
      <c r="W32">
        <v>1938</v>
      </c>
      <c r="X32">
        <v>9001.9872707730392</v>
      </c>
      <c r="Y32">
        <f t="shared" si="8"/>
        <v>17445851.330758151</v>
      </c>
      <c r="Z32">
        <f t="shared" si="70"/>
        <v>10.046987012370103</v>
      </c>
      <c r="AA32">
        <f t="shared" si="80"/>
        <v>8.0300562368824053</v>
      </c>
      <c r="AB32">
        <f t="shared" si="81"/>
        <v>2.6895615429489177</v>
      </c>
      <c r="AC32">
        <f t="shared" si="82"/>
        <v>6.4592315888574205</v>
      </c>
      <c r="AD32">
        <f t="shared" si="83"/>
        <v>5.548762220845787</v>
      </c>
      <c r="AE32">
        <f t="shared" si="84"/>
        <v>2.961034066730881</v>
      </c>
      <c r="AF32">
        <f t="shared" si="85"/>
        <v>8.3790186275465128</v>
      </c>
      <c r="AG32">
        <f t="shared" si="86"/>
        <v>3.6540027603796998</v>
      </c>
      <c r="AH32">
        <f t="shared" si="4"/>
        <v>14.752361412031716</v>
      </c>
      <c r="AI32">
        <f t="shared" si="79"/>
        <v>6.9687240579263854</v>
      </c>
      <c r="AJ32">
        <f t="shared" si="79"/>
        <v>4.6296050148216619</v>
      </c>
      <c r="AK32">
        <f t="shared" si="79"/>
        <v>3.6948385064954095</v>
      </c>
      <c r="AL32">
        <f t="shared" si="79"/>
        <v>2.5944664113759068</v>
      </c>
      <c r="AM32">
        <f t="shared" si="79"/>
        <v>2.3895751703221002</v>
      </c>
      <c r="AN32">
        <f t="shared" si="79"/>
        <v>6.5870344778956778</v>
      </c>
      <c r="AO32">
        <f t="shared" si="79"/>
        <v>3.6424813908642166</v>
      </c>
      <c r="AP32">
        <f t="shared" si="10"/>
        <v>0.35100863175851976</v>
      </c>
      <c r="AQ32">
        <f t="shared" si="11"/>
        <v>0.54945356977309578</v>
      </c>
      <c r="AR32">
        <f t="shared" si="12"/>
        <v>0.32449815272819632</v>
      </c>
      <c r="AS32">
        <f t="shared" si="13"/>
        <v>0.66779231582742871</v>
      </c>
      <c r="AT32">
        <f t="shared" si="14"/>
        <v>0.72116394561468544</v>
      </c>
      <c r="AU32">
        <f t="shared" si="15"/>
        <v>0.57972252490074705</v>
      </c>
      <c r="AV32">
        <f t="shared" si="16"/>
        <v>0.58926828495183114</v>
      </c>
      <c r="AW32">
        <f t="shared" si="17"/>
        <v>0.50106584471993965</v>
      </c>
      <c r="BC32">
        <f t="shared" si="18"/>
        <v>63.912733479194358</v>
      </c>
      <c r="BD32">
        <f t="shared" si="19"/>
        <v>68.369104942896655</v>
      </c>
      <c r="BE32">
        <f t="shared" si="20"/>
        <v>35.409498348721115</v>
      </c>
      <c r="BF32">
        <f t="shared" si="21"/>
        <v>48.262696266364664</v>
      </c>
      <c r="BG32">
        <f t="shared" si="22"/>
        <v>16.864503244381055</v>
      </c>
      <c r="BH32">
        <f t="shared" si="23"/>
        <v>71.02403555869877</v>
      </c>
      <c r="BI32">
        <f t="shared" si="24"/>
        <v>54.425196519121776</v>
      </c>
      <c r="BJ32">
        <f t="shared" si="25"/>
        <v>50.31647995221546</v>
      </c>
      <c r="BK32">
        <f t="shared" si="26"/>
        <v>3.6009059328188853</v>
      </c>
      <c r="BL32">
        <f t="shared" si="27"/>
        <v>-1.7434653649705143</v>
      </c>
      <c r="BM32">
        <f t="shared" si="28"/>
        <v>15.559586845586933</v>
      </c>
      <c r="BN32">
        <f t="shared" si="29"/>
        <v>9.3437130706209043E-2</v>
      </c>
      <c r="BO32">
        <f t="shared" si="30"/>
        <v>-1.730714753115195</v>
      </c>
      <c r="BP32">
        <f t="shared" si="31"/>
        <v>23.553708989534247</v>
      </c>
      <c r="BQ32">
        <f t="shared" si="32"/>
        <v>-12.446793</v>
      </c>
      <c r="BR32">
        <f t="shared" si="33"/>
        <v>34.26802209708729</v>
      </c>
      <c r="BS32">
        <f t="shared" si="34"/>
        <v>11.498634426232478</v>
      </c>
      <c r="BT32">
        <f t="shared" si="35"/>
        <v>-1.0223138766250046</v>
      </c>
      <c r="BU32">
        <f t="shared" si="36"/>
        <v>182.08264</v>
      </c>
      <c r="BV32">
        <f t="shared" si="37"/>
        <v>-64.956734999999995</v>
      </c>
      <c r="BW32">
        <f t="shared" si="38"/>
        <v>408.5842483115938</v>
      </c>
      <c r="BX32">
        <f t="shared" si="39"/>
        <v>1589.0061595034854</v>
      </c>
      <c r="BY32">
        <f t="shared" si="40"/>
        <v>1938</v>
      </c>
      <c r="BZ32">
        <v>1997.5903834026601</v>
      </c>
      <c r="CD32">
        <v>1982.16295561071</v>
      </c>
      <c r="CG32">
        <f t="shared" si="41"/>
        <v>179.29838748541246</v>
      </c>
      <c r="CH32">
        <f t="shared" si="42"/>
        <v>200.11174286275207</v>
      </c>
      <c r="CI32">
        <f t="shared" si="43"/>
        <v>87.05534062224865</v>
      </c>
      <c r="CJ32">
        <f t="shared" si="44"/>
        <v>198.73390134980642</v>
      </c>
      <c r="CK32">
        <f t="shared" si="45"/>
        <v>107.132040463061</v>
      </c>
      <c r="CL32">
        <f t="shared" si="46"/>
        <v>104.23326706060311</v>
      </c>
      <c r="CM32">
        <f t="shared" si="47"/>
        <v>133.90464859246299</v>
      </c>
      <c r="CN32">
        <f t="shared" si="48"/>
        <v>71.892876792766614</v>
      </c>
      <c r="CO32">
        <f t="shared" si="49"/>
        <v>590.73295768690195</v>
      </c>
      <c r="CP32">
        <f t="shared" si="50"/>
        <v>408.80985068341619</v>
      </c>
      <c r="CQ32">
        <f t="shared" si="51"/>
        <v>134.92920985477181</v>
      </c>
      <c r="CR32">
        <f t="shared" si="52"/>
        <v>13.5734216541605</v>
      </c>
      <c r="CS32">
        <f t="shared" si="53"/>
        <v>-21.701462354486779</v>
      </c>
      <c r="CT32">
        <f t="shared" si="54"/>
        <v>-37.908799244763834</v>
      </c>
      <c r="CU32">
        <f t="shared" si="55"/>
        <v>73.717350999999994</v>
      </c>
      <c r="CV32">
        <f t="shared" si="56"/>
        <v>22.876486601941686</v>
      </c>
      <c r="CW32">
        <f t="shared" si="57"/>
        <v>-4.760856285927491</v>
      </c>
      <c r="CX32">
        <f t="shared" si="58"/>
        <v>-499.63840232350117</v>
      </c>
      <c r="CY32">
        <f t="shared" si="59"/>
        <v>7.2289560000000002</v>
      </c>
      <c r="CZ32">
        <f t="shared" si="60"/>
        <v>6.1835399999999998</v>
      </c>
      <c r="DA32">
        <v>9001.9872707730392</v>
      </c>
      <c r="DB32">
        <f t="shared" si="71"/>
        <v>1614041.801813815</v>
      </c>
      <c r="DC32">
        <f t="shared" si="72"/>
        <v>1801403.3619827016</v>
      </c>
      <c r="DD32">
        <f t="shared" si="73"/>
        <v>783671.06813429343</v>
      </c>
      <c r="DE32">
        <f t="shared" si="74"/>
        <v>1789000.0502220222</v>
      </c>
      <c r="DF32">
        <f t="shared" si="75"/>
        <v>964401.26454041735</v>
      </c>
      <c r="DG32">
        <f t="shared" si="76"/>
        <v>938306.54327063588</v>
      </c>
      <c r="DH32">
        <f t="shared" si="77"/>
        <v>1205407.9421266888</v>
      </c>
      <c r="DI32">
        <f t="shared" si="78"/>
        <v>647178.76174773951</v>
      </c>
    </row>
    <row r="33" spans="1:113" x14ac:dyDescent="0.3">
      <c r="A33" s="1">
        <v>45496</v>
      </c>
      <c r="B33">
        <v>30</v>
      </c>
      <c r="C33">
        <v>1</v>
      </c>
      <c r="D33">
        <v>0.28155339805825202</v>
      </c>
      <c r="E33">
        <v>-0.46472317204376801</v>
      </c>
      <c r="F33">
        <v>-0.88545602565321002</v>
      </c>
      <c r="G33">
        <v>1.0015132708726899</v>
      </c>
      <c r="H33">
        <v>0.987274019707303</v>
      </c>
      <c r="I33">
        <v>0.82060635050328801</v>
      </c>
      <c r="J33">
        <v>8.2340045855682095E-2</v>
      </c>
      <c r="K33">
        <v>155.77346985377201</v>
      </c>
      <c r="L33">
        <v>0.99508441106816503</v>
      </c>
      <c r="M33">
        <v>0.19356498186500601</v>
      </c>
      <c r="N33">
        <v>5.3954123510207799</v>
      </c>
      <c r="O33">
        <v>1.0464061976304799</v>
      </c>
      <c r="P33">
        <v>0.87399628232114401</v>
      </c>
      <c r="Q33">
        <v>1.9368972806218101</v>
      </c>
      <c r="R33">
        <v>2.3206478747738202</v>
      </c>
      <c r="S33">
        <v>3.55743282300313</v>
      </c>
      <c r="T33">
        <v>2.7168003481413501</v>
      </c>
      <c r="U33">
        <v>22</v>
      </c>
      <c r="V33">
        <v>139</v>
      </c>
      <c r="W33">
        <v>1900</v>
      </c>
      <c r="X33">
        <v>9013.6194378542496</v>
      </c>
      <c r="Y33">
        <f t="shared" si="8"/>
        <v>17125876.931923073</v>
      </c>
      <c r="Z33">
        <f t="shared" si="70"/>
        <v>6.2217571892870671</v>
      </c>
      <c r="AA33">
        <f t="shared" si="80"/>
        <v>9.4104404694619816</v>
      </c>
      <c r="AB33">
        <f t="shared" si="81"/>
        <v>2.2567088919574929</v>
      </c>
      <c r="AC33">
        <f t="shared" si="82"/>
        <v>2.8117657589783702</v>
      </c>
      <c r="AD33">
        <f t="shared" si="83"/>
        <v>3.8789640579178357</v>
      </c>
      <c r="AE33">
        <f t="shared" si="84"/>
        <v>3.8011649081392607</v>
      </c>
      <c r="AF33">
        <f t="shared" si="85"/>
        <v>9.422745862285689</v>
      </c>
      <c r="AG33">
        <f t="shared" si="86"/>
        <v>4.7265018663501852</v>
      </c>
      <c r="AH33">
        <f t="shared" si="4"/>
        <v>14.752361412031716</v>
      </c>
      <c r="AI33">
        <f t="shared" si="79"/>
        <v>6.9687240579263854</v>
      </c>
      <c r="AJ33">
        <f t="shared" si="79"/>
        <v>4.6296050148216619</v>
      </c>
      <c r="AK33">
        <f t="shared" si="79"/>
        <v>3.6948385064954095</v>
      </c>
      <c r="AL33">
        <f t="shared" si="79"/>
        <v>2.5944664113759068</v>
      </c>
      <c r="AM33">
        <f t="shared" si="79"/>
        <v>2.3895751703221002</v>
      </c>
      <c r="AN33">
        <f t="shared" si="79"/>
        <v>6.5870344778956778</v>
      </c>
      <c r="AO33">
        <f t="shared" si="79"/>
        <v>3.6424813908642166</v>
      </c>
      <c r="AP33">
        <f t="shared" si="10"/>
        <v>0.20079046311617685</v>
      </c>
      <c r="AQ33">
        <f t="shared" si="11"/>
        <v>0.60361309662604989</v>
      </c>
      <c r="AR33">
        <f t="shared" si="12"/>
        <v>0.27486825193521314</v>
      </c>
      <c r="AS33">
        <f t="shared" si="13"/>
        <v>0.41546817230018007</v>
      </c>
      <c r="AT33">
        <f t="shared" si="14"/>
        <v>0.62310163028098442</v>
      </c>
      <c r="AU33">
        <f t="shared" si="15"/>
        <v>0.66736425326958337</v>
      </c>
      <c r="AV33">
        <f t="shared" si="16"/>
        <v>0.63112240063375424</v>
      </c>
      <c r="AW33">
        <f t="shared" si="17"/>
        <v>0.58703031909745695</v>
      </c>
      <c r="BC33">
        <f t="shared" si="18"/>
        <v>36.560546360400799</v>
      </c>
      <c r="BD33">
        <f t="shared" si="19"/>
        <v>75.108233740615418</v>
      </c>
      <c r="BE33">
        <f t="shared" si="20"/>
        <v>29.993843820640258</v>
      </c>
      <c r="BF33">
        <f t="shared" si="21"/>
        <v>30.026721980501197</v>
      </c>
      <c r="BG33">
        <f t="shared" si="22"/>
        <v>14.571304527011565</v>
      </c>
      <c r="BH33">
        <f t="shared" si="23"/>
        <v>81.761360683610476</v>
      </c>
      <c r="BI33">
        <f t="shared" si="24"/>
        <v>58.290869471992352</v>
      </c>
      <c r="BJ33">
        <f t="shared" si="25"/>
        <v>58.948937736354978</v>
      </c>
      <c r="BK33">
        <f t="shared" si="26"/>
        <v>3.6055589431147506</v>
      </c>
      <c r="BL33">
        <f t="shared" si="27"/>
        <v>-1.7422888644564039</v>
      </c>
      <c r="BM33">
        <f t="shared" si="28"/>
        <v>15.974271155989618</v>
      </c>
      <c r="BN33">
        <f t="shared" si="29"/>
        <v>0.24871041402837174</v>
      </c>
      <c r="BO33">
        <f t="shared" si="30"/>
        <v>-2.2681674149464377</v>
      </c>
      <c r="BP33">
        <f t="shared" si="31"/>
        <v>22.305252678142192</v>
      </c>
      <c r="BQ33">
        <f t="shared" si="32"/>
        <v>-12.446793</v>
      </c>
      <c r="BR33">
        <f t="shared" si="33"/>
        <v>35.491880029126165</v>
      </c>
      <c r="BS33">
        <f t="shared" si="34"/>
        <v>15.217042949605426</v>
      </c>
      <c r="BT33">
        <f t="shared" si="35"/>
        <v>-1.0221337906142309</v>
      </c>
      <c r="BU33">
        <f t="shared" si="36"/>
        <v>154.32614000000001</v>
      </c>
      <c r="BV33">
        <f t="shared" si="37"/>
        <v>-95.269877999999991</v>
      </c>
      <c r="BW33">
        <f t="shared" si="38"/>
        <v>385.26181832112707</v>
      </c>
      <c r="BX33">
        <f t="shared" si="39"/>
        <v>1534.6688411762195</v>
      </c>
      <c r="BY33">
        <f t="shared" si="40"/>
        <v>1900</v>
      </c>
      <c r="BZ33">
        <v>1919.93062601978</v>
      </c>
      <c r="CD33">
        <v>1882.8437614176901</v>
      </c>
      <c r="CG33">
        <f t="shared" si="41"/>
        <v>102.56558671738665</v>
      </c>
      <c r="CH33">
        <f t="shared" si="42"/>
        <v>219.83671674114976</v>
      </c>
      <c r="CI33">
        <f t="shared" si="43"/>
        <v>73.740787419844125</v>
      </c>
      <c r="CJ33">
        <f t="shared" si="44"/>
        <v>123.64264878607187</v>
      </c>
      <c r="CK33">
        <f t="shared" si="45"/>
        <v>92.564457047230334</v>
      </c>
      <c r="CL33">
        <f t="shared" si="46"/>
        <v>119.99112239024683</v>
      </c>
      <c r="CM33">
        <f t="shared" si="47"/>
        <v>143.41552979149839</v>
      </c>
      <c r="CN33">
        <f t="shared" si="48"/>
        <v>84.227050894040886</v>
      </c>
      <c r="CO33">
        <f t="shared" si="49"/>
        <v>591.49628963322482</v>
      </c>
      <c r="CP33">
        <f t="shared" si="50"/>
        <v>408.53398343123791</v>
      </c>
      <c r="CQ33">
        <f t="shared" si="51"/>
        <v>138.52525818800083</v>
      </c>
      <c r="CR33">
        <f t="shared" si="52"/>
        <v>36.129655243829035</v>
      </c>
      <c r="CS33">
        <f t="shared" si="53"/>
        <v>-28.440590617567526</v>
      </c>
      <c r="CT33">
        <f t="shared" si="54"/>
        <v>-35.899456270566048</v>
      </c>
      <c r="CU33">
        <f t="shared" si="55"/>
        <v>73.717350999999994</v>
      </c>
      <c r="CV33">
        <f t="shared" si="56"/>
        <v>23.693503980582488</v>
      </c>
      <c r="CW33">
        <f t="shared" si="57"/>
        <v>-6.3004137617056637</v>
      </c>
      <c r="CX33">
        <f t="shared" si="58"/>
        <v>-499.55038836931243</v>
      </c>
      <c r="CY33">
        <f t="shared" si="59"/>
        <v>6.1269809999999998</v>
      </c>
      <c r="CZ33">
        <f t="shared" si="60"/>
        <v>9.0691919999999993</v>
      </c>
      <c r="DA33">
        <v>9013.6194378542496</v>
      </c>
      <c r="DB33">
        <f t="shared" si="71"/>
        <v>924487.16609076189</v>
      </c>
      <c r="DC33">
        <f t="shared" si="72"/>
        <v>1981524.5031720861</v>
      </c>
      <c r="DD33">
        <f t="shared" si="73"/>
        <v>664671.39485018514</v>
      </c>
      <c r="DE33">
        <f t="shared" si="74"/>
        <v>1114467.7824459237</v>
      </c>
      <c r="DF33">
        <f t="shared" si="75"/>
        <v>834340.78929534007</v>
      </c>
      <c r="DG33">
        <f t="shared" si="76"/>
        <v>1081554.3131466771</v>
      </c>
      <c r="DH33">
        <f t="shared" si="77"/>
        <v>1292693.007018815</v>
      </c>
      <c r="DI33">
        <f t="shared" si="78"/>
        <v>759190.58313166606</v>
      </c>
    </row>
    <row r="34" spans="1:113" x14ac:dyDescent="0.3">
      <c r="A34" s="1">
        <v>45503</v>
      </c>
      <c r="B34">
        <v>31</v>
      </c>
      <c r="C34">
        <v>1</v>
      </c>
      <c r="D34">
        <v>0.29126213592233002</v>
      </c>
      <c r="E34">
        <v>-0.56806474673115503</v>
      </c>
      <c r="F34">
        <v>-0.82298386589365602</v>
      </c>
      <c r="G34">
        <v>1.0079382136752999</v>
      </c>
      <c r="H34">
        <v>0.98286160082379503</v>
      </c>
      <c r="I34">
        <v>0.81306517626975305</v>
      </c>
      <c r="J34">
        <v>1.6434845200720399E-2</v>
      </c>
      <c r="K34">
        <v>73.595028472693897</v>
      </c>
      <c r="L34">
        <v>0.99358763309329901</v>
      </c>
      <c r="M34">
        <v>9.5469583541539098</v>
      </c>
      <c r="N34">
        <v>7.0177939911658997</v>
      </c>
      <c r="O34">
        <v>0.93115968061955701</v>
      </c>
      <c r="P34">
        <v>2.21557136814558</v>
      </c>
      <c r="Q34">
        <v>0.569940590114421</v>
      </c>
      <c r="R34">
        <v>0.33318779740061299</v>
      </c>
      <c r="S34">
        <v>6.1011007943170403</v>
      </c>
      <c r="T34">
        <v>1.5211324575841301</v>
      </c>
      <c r="U34">
        <v>16</v>
      </c>
      <c r="V34">
        <v>161</v>
      </c>
      <c r="W34">
        <v>1933</v>
      </c>
      <c r="X34">
        <v>9071.4439230777498</v>
      </c>
      <c r="Y34">
        <f t="shared" si="8"/>
        <v>17535101.103309289</v>
      </c>
      <c r="Z34">
        <f t="shared" si="70"/>
        <v>13.280012667726151</v>
      </c>
      <c r="AA34">
        <f t="shared" si="80"/>
        <v>11.72301422589689</v>
      </c>
      <c r="AB34">
        <f t="shared" si="81"/>
        <v>1.9466786820004289</v>
      </c>
      <c r="AC34">
        <f t="shared" si="82"/>
        <v>3.059101095839091</v>
      </c>
      <c r="AD34">
        <f t="shared" si="83"/>
        <v>1.9275780103856635</v>
      </c>
      <c r="AE34">
        <f t="shared" si="84"/>
        <v>2.2337702514702436</v>
      </c>
      <c r="AF34">
        <f t="shared" si="85"/>
        <v>12.697022897917023</v>
      </c>
      <c r="AG34">
        <f t="shared" si="86"/>
        <v>4.1207084840767321</v>
      </c>
      <c r="AH34">
        <f t="shared" si="4"/>
        <v>14.752361412031716</v>
      </c>
      <c r="AI34">
        <f t="shared" si="79"/>
        <v>6.9687240579263854</v>
      </c>
      <c r="AJ34">
        <f t="shared" si="79"/>
        <v>4.6296050148216619</v>
      </c>
      <c r="AK34">
        <f t="shared" si="79"/>
        <v>3.6948385064954095</v>
      </c>
      <c r="AL34">
        <f t="shared" si="79"/>
        <v>2.5944664113759068</v>
      </c>
      <c r="AM34">
        <f t="shared" si="79"/>
        <v>2.3895751703221002</v>
      </c>
      <c r="AN34">
        <f t="shared" si="79"/>
        <v>6.5870344778956778</v>
      </c>
      <c r="AO34">
        <f t="shared" si="79"/>
        <v>3.6424813908642166</v>
      </c>
      <c r="AP34">
        <f t="shared" si="10"/>
        <v>0.45804168132990936</v>
      </c>
      <c r="AQ34">
        <f t="shared" si="11"/>
        <v>0.67440367487786501</v>
      </c>
      <c r="AR34">
        <f t="shared" si="12"/>
        <v>0.23693302855808024</v>
      </c>
      <c r="AS34">
        <f t="shared" si="13"/>
        <v>0.44126747293992752</v>
      </c>
      <c r="AT34">
        <f t="shared" si="14"/>
        <v>0.4082038095984441</v>
      </c>
      <c r="AU34">
        <f t="shared" si="15"/>
        <v>0.47473725128569716</v>
      </c>
      <c r="AV34">
        <f t="shared" si="16"/>
        <v>0.72797969794064665</v>
      </c>
      <c r="AW34">
        <f t="shared" si="17"/>
        <v>0.54153802895690761</v>
      </c>
      <c r="BC34">
        <f t="shared" si="18"/>
        <v>83.401641021011756</v>
      </c>
      <c r="BD34">
        <f t="shared" si="19"/>
        <v>83.916782341847338</v>
      </c>
      <c r="BE34">
        <f t="shared" si="20"/>
        <v>25.854321859613592</v>
      </c>
      <c r="BF34">
        <f t="shared" si="21"/>
        <v>31.891289423326533</v>
      </c>
      <c r="BG34">
        <f t="shared" si="22"/>
        <v>9.5458938473053383</v>
      </c>
      <c r="BH34">
        <f t="shared" si="23"/>
        <v>58.161886019741956</v>
      </c>
      <c r="BI34">
        <f t="shared" si="24"/>
        <v>67.236671536784499</v>
      </c>
      <c r="BJ34">
        <f t="shared" si="25"/>
        <v>54.38065209294475</v>
      </c>
      <c r="BK34">
        <f t="shared" si="26"/>
        <v>3.6286894503727978</v>
      </c>
      <c r="BL34">
        <f t="shared" si="27"/>
        <v>-1.7345020614689899</v>
      </c>
      <c r="BM34">
        <f t="shared" si="28"/>
        <v>15.827471460901751</v>
      </c>
      <c r="BN34">
        <f t="shared" si="29"/>
        <v>4.9641910104441585E-2</v>
      </c>
      <c r="BO34">
        <f t="shared" si="30"/>
        <v>-2.7725450883995473</v>
      </c>
      <c r="BP34">
        <f t="shared" si="31"/>
        <v>20.731535555647991</v>
      </c>
      <c r="BQ34">
        <f t="shared" si="32"/>
        <v>-12.446793</v>
      </c>
      <c r="BR34">
        <f t="shared" si="33"/>
        <v>36.71573796116504</v>
      </c>
      <c r="BS34">
        <f t="shared" si="34"/>
        <v>7.1892775464120486</v>
      </c>
      <c r="BT34">
        <f t="shared" si="35"/>
        <v>-1.0205963257236741</v>
      </c>
      <c r="BU34">
        <f t="shared" si="36"/>
        <v>178.75185999999999</v>
      </c>
      <c r="BV34">
        <f t="shared" si="37"/>
        <v>-69.287183999999996</v>
      </c>
      <c r="BW34">
        <f t="shared" si="38"/>
        <v>414.38913814257575</v>
      </c>
      <c r="BX34">
        <f t="shared" si="39"/>
        <v>1575.8818394852419</v>
      </c>
      <c r="BY34">
        <f t="shared" si="40"/>
        <v>1933</v>
      </c>
      <c r="BZ34">
        <v>1990.2709618415399</v>
      </c>
      <c r="CD34">
        <v>1957.8315848242801</v>
      </c>
      <c r="CG34">
        <f t="shared" si="41"/>
        <v>233.97183839074214</v>
      </c>
      <c r="CH34">
        <f t="shared" si="42"/>
        <v>245.61874232355302</v>
      </c>
      <c r="CI34">
        <f t="shared" si="43"/>
        <v>63.563645377856659</v>
      </c>
      <c r="CJ34">
        <f t="shared" si="44"/>
        <v>131.32047847460419</v>
      </c>
      <c r="CK34">
        <f t="shared" si="45"/>
        <v>60.640451194216816</v>
      </c>
      <c r="CL34">
        <f t="shared" si="46"/>
        <v>85.357067513204967</v>
      </c>
      <c r="CM34">
        <f t="shared" si="47"/>
        <v>165.4252708393393</v>
      </c>
      <c r="CN34">
        <f t="shared" si="48"/>
        <v>77.699821699396168</v>
      </c>
      <c r="CO34">
        <f t="shared" si="49"/>
        <v>595.29087722320048</v>
      </c>
      <c r="CP34">
        <f t="shared" si="50"/>
        <v>406.70812452371683</v>
      </c>
      <c r="CQ34">
        <f t="shared" si="51"/>
        <v>137.25224451085779</v>
      </c>
      <c r="CR34">
        <f t="shared" si="52"/>
        <v>7.2113791645010412</v>
      </c>
      <c r="CS34">
        <f t="shared" si="53"/>
        <v>-34.764991026811479</v>
      </c>
      <c r="CT34">
        <f t="shared" si="54"/>
        <v>-33.366618385408003</v>
      </c>
      <c r="CU34">
        <f t="shared" si="55"/>
        <v>73.717350999999994</v>
      </c>
      <c r="CV34">
        <f t="shared" si="56"/>
        <v>24.510521359223294</v>
      </c>
      <c r="CW34">
        <f t="shared" si="57"/>
        <v>-2.9766245216065776</v>
      </c>
      <c r="CX34">
        <f t="shared" si="58"/>
        <v>-498.79897872975801</v>
      </c>
      <c r="CY34">
        <f t="shared" si="59"/>
        <v>7.0967190000000002</v>
      </c>
      <c r="CZ34">
        <f t="shared" si="60"/>
        <v>6.5957759999999999</v>
      </c>
      <c r="DA34">
        <v>9071.4439230777498</v>
      </c>
      <c r="DB34">
        <f t="shared" si="71"/>
        <v>2122462.411541027</v>
      </c>
      <c r="DC34">
        <f t="shared" si="72"/>
        <v>2228116.6474449947</v>
      </c>
      <c r="DD34">
        <f t="shared" si="73"/>
        <v>576614.04459162685</v>
      </c>
      <c r="DE34">
        <f t="shared" si="74"/>
        <v>1191266.3564341106</v>
      </c>
      <c r="DF34">
        <f t="shared" si="75"/>
        <v>550096.45247847098</v>
      </c>
      <c r="DG34">
        <f t="shared" si="76"/>
        <v>774311.85138440039</v>
      </c>
      <c r="DH34">
        <f t="shared" si="77"/>
        <v>1500646.0678790153</v>
      </c>
      <c r="DI34">
        <f t="shared" si="78"/>
        <v>704849.57537921204</v>
      </c>
    </row>
    <row r="35" spans="1:113" x14ac:dyDescent="0.3">
      <c r="A35" s="1">
        <v>45510</v>
      </c>
      <c r="B35">
        <v>32</v>
      </c>
      <c r="C35">
        <v>1</v>
      </c>
      <c r="D35">
        <v>0.30097087378640702</v>
      </c>
      <c r="E35">
        <v>-0.66312265824079497</v>
      </c>
      <c r="F35">
        <v>-0.74851074817110097</v>
      </c>
      <c r="G35">
        <v>1.00671896862615</v>
      </c>
      <c r="H35">
        <v>0.979814863580172</v>
      </c>
      <c r="I35">
        <v>0.81985123679430005</v>
      </c>
      <c r="J35">
        <v>7.0404273729579595E-2</v>
      </c>
      <c r="K35">
        <v>105.299778897439</v>
      </c>
      <c r="L35">
        <v>0.99346035729580595</v>
      </c>
      <c r="M35">
        <v>3.1426731846980598</v>
      </c>
      <c r="N35">
        <v>5.2219931035076996</v>
      </c>
      <c r="O35">
        <v>2.08867151016657</v>
      </c>
      <c r="P35">
        <v>2.5453572619646199</v>
      </c>
      <c r="Q35">
        <v>1.44560810828175</v>
      </c>
      <c r="R35">
        <v>0.44876858398299202</v>
      </c>
      <c r="S35">
        <v>2.3746805773689599</v>
      </c>
      <c r="T35">
        <v>1.66533799700692</v>
      </c>
      <c r="U35">
        <v>23</v>
      </c>
      <c r="V35">
        <v>176</v>
      </c>
      <c r="W35">
        <v>1900</v>
      </c>
      <c r="X35">
        <v>9060.4707176353695</v>
      </c>
      <c r="Y35">
        <f t="shared" si="8"/>
        <v>17214894.363507204</v>
      </c>
      <c r="Z35">
        <f t="shared" si="70"/>
        <v>11.11068078533375</v>
      </c>
      <c r="AA35">
        <f t="shared" si="80"/>
        <v>11.083500216456144</v>
      </c>
      <c r="AB35">
        <f t="shared" si="81"/>
        <v>2.9646769170667628</v>
      </c>
      <c r="AC35">
        <f t="shared" si="82"/>
        <v>3.4630875907163472</v>
      </c>
      <c r="AD35">
        <f t="shared" si="83"/>
        <v>2.1202604119167323</v>
      </c>
      <c r="AE35">
        <f t="shared" si="84"/>
        <v>1.5656537097181138</v>
      </c>
      <c r="AF35">
        <f t="shared" si="85"/>
        <v>11.262596605910876</v>
      </c>
      <c r="AG35">
        <f t="shared" si="86"/>
        <v>3.9317276632491227</v>
      </c>
      <c r="AH35">
        <f t="shared" si="4"/>
        <v>14.752361412031716</v>
      </c>
      <c r="AI35">
        <f t="shared" si="79"/>
        <v>6.9687240579263854</v>
      </c>
      <c r="AJ35">
        <f t="shared" si="79"/>
        <v>4.6296050148216619</v>
      </c>
      <c r="AK35">
        <f t="shared" si="79"/>
        <v>3.6948385064954095</v>
      </c>
      <c r="AL35">
        <f t="shared" si="79"/>
        <v>2.5944664113759068</v>
      </c>
      <c r="AM35">
        <f t="shared" si="79"/>
        <v>2.3895751703221002</v>
      </c>
      <c r="AN35">
        <f t="shared" si="79"/>
        <v>6.5870344778956778</v>
      </c>
      <c r="AO35">
        <f t="shared" si="79"/>
        <v>3.6424813908642166</v>
      </c>
      <c r="AP35">
        <f t="shared" si="10"/>
        <v>0.38850658680622813</v>
      </c>
      <c r="AQ35">
        <f t="shared" si="11"/>
        <v>0.65692832891554775</v>
      </c>
      <c r="AR35">
        <f t="shared" si="12"/>
        <v>0.35395492181714072</v>
      </c>
      <c r="AS35">
        <f t="shared" si="13"/>
        <v>0.47976846195343559</v>
      </c>
      <c r="AT35">
        <f t="shared" si="14"/>
        <v>0.43725687007719072</v>
      </c>
      <c r="AU35">
        <f t="shared" si="15"/>
        <v>0.34655468283166552</v>
      </c>
      <c r="AV35">
        <f t="shared" si="16"/>
        <v>0.69095246611975403</v>
      </c>
      <c r="AW35">
        <f t="shared" si="17"/>
        <v>0.5257668073059194</v>
      </c>
      <c r="BC35">
        <f t="shared" si="18"/>
        <v>70.740476702978555</v>
      </c>
      <c r="BD35">
        <f t="shared" si="19"/>
        <v>81.742306048055141</v>
      </c>
      <c r="BE35">
        <f t="shared" si="20"/>
        <v>38.62384458657877</v>
      </c>
      <c r="BF35">
        <f t="shared" si="21"/>
        <v>34.673833478825621</v>
      </c>
      <c r="BG35">
        <f t="shared" si="22"/>
        <v>10.225303065808905</v>
      </c>
      <c r="BH35">
        <f t="shared" si="23"/>
        <v>42.457746696462834</v>
      </c>
      <c r="BI35">
        <f t="shared" si="24"/>
        <v>63.816812671351265</v>
      </c>
      <c r="BJ35">
        <f t="shared" si="25"/>
        <v>52.796923394638775</v>
      </c>
      <c r="BK35">
        <f t="shared" si="26"/>
        <v>3.6243000328596575</v>
      </c>
      <c r="BL35">
        <f t="shared" si="27"/>
        <v>-1.7291253410585179</v>
      </c>
      <c r="BM35">
        <f t="shared" si="28"/>
        <v>15.959571792362246</v>
      </c>
      <c r="BN35">
        <f t="shared" si="29"/>
        <v>0.21265808011985959</v>
      </c>
      <c r="BO35">
        <f t="shared" si="30"/>
        <v>-3.2364928112359741</v>
      </c>
      <c r="BP35">
        <f t="shared" si="31"/>
        <v>18.855505961400013</v>
      </c>
      <c r="BQ35">
        <f t="shared" si="32"/>
        <v>-12.446793</v>
      </c>
      <c r="BR35">
        <f t="shared" si="33"/>
        <v>37.939595893203787</v>
      </c>
      <c r="BS35">
        <f t="shared" si="34"/>
        <v>10.286419501154123</v>
      </c>
      <c r="BT35">
        <f t="shared" si="35"/>
        <v>-1.0204655901881778</v>
      </c>
      <c r="BU35">
        <f t="shared" si="36"/>
        <v>195.40576000000001</v>
      </c>
      <c r="BV35">
        <f t="shared" si="37"/>
        <v>-99.600326999999993</v>
      </c>
      <c r="BW35">
        <f t="shared" si="38"/>
        <v>395.07724664469987</v>
      </c>
      <c r="BX35">
        <f t="shared" si="39"/>
        <v>1564.4998535948471</v>
      </c>
      <c r="BY35">
        <f t="shared" si="40"/>
        <v>1900</v>
      </c>
      <c r="BZ35">
        <v>1959.5770771488101</v>
      </c>
      <c r="CD35">
        <v>1952.58514336947</v>
      </c>
      <c r="CG35">
        <f t="shared" si="41"/>
        <v>198.45268246776484</v>
      </c>
      <c r="CH35">
        <f t="shared" si="42"/>
        <v>239.25419738285311</v>
      </c>
      <c r="CI35">
        <f t="shared" si="43"/>
        <v>94.957909697324169</v>
      </c>
      <c r="CJ35">
        <f t="shared" si="44"/>
        <v>142.77830985590714</v>
      </c>
      <c r="CK35">
        <f t="shared" si="45"/>
        <v>64.956409680094652</v>
      </c>
      <c r="CL35">
        <f t="shared" si="46"/>
        <v>62.310028082624619</v>
      </c>
      <c r="CM35">
        <f t="shared" si="47"/>
        <v>157.0112451876218</v>
      </c>
      <c r="CN35">
        <f t="shared" si="48"/>
        <v>75.436968409805772</v>
      </c>
      <c r="CO35">
        <f t="shared" si="49"/>
        <v>594.57078799053613</v>
      </c>
      <c r="CP35">
        <f t="shared" si="50"/>
        <v>405.44738467058602</v>
      </c>
      <c r="CQ35">
        <f t="shared" si="51"/>
        <v>138.39778863888671</v>
      </c>
      <c r="CR35">
        <f t="shared" si="52"/>
        <v>30.892406132493626</v>
      </c>
      <c r="CS35">
        <f t="shared" si="53"/>
        <v>-40.582439582942463</v>
      </c>
      <c r="CT35">
        <f t="shared" si="54"/>
        <v>-30.347220069109596</v>
      </c>
      <c r="CU35">
        <f t="shared" si="55"/>
        <v>73.717350999999994</v>
      </c>
      <c r="CV35">
        <f t="shared" si="56"/>
        <v>25.327538737864014</v>
      </c>
      <c r="CW35">
        <f t="shared" si="57"/>
        <v>-4.2589548572858176</v>
      </c>
      <c r="CX35">
        <f t="shared" si="58"/>
        <v>-498.73508397534272</v>
      </c>
      <c r="CY35">
        <f t="shared" si="59"/>
        <v>7.7579039999999999</v>
      </c>
      <c r="CZ35">
        <f t="shared" si="60"/>
        <v>9.4814279999999993</v>
      </c>
      <c r="DA35">
        <v>9060.4707176353695</v>
      </c>
      <c r="DB35">
        <f t="shared" si="71"/>
        <v>1798074.7183353736</v>
      </c>
      <c r="DC35">
        <f t="shared" si="72"/>
        <v>2167755.6494586933</v>
      </c>
      <c r="DD35">
        <f t="shared" si="73"/>
        <v>860363.3602204693</v>
      </c>
      <c r="DE35">
        <f t="shared" si="74"/>
        <v>1293638.6955629161</v>
      </c>
      <c r="DF35">
        <f t="shared" si="75"/>
        <v>588535.64782922424</v>
      </c>
      <c r="DG35">
        <f t="shared" si="76"/>
        <v>564558.18485765788</v>
      </c>
      <c r="DH35">
        <f t="shared" si="77"/>
        <v>1422595.7893619146</v>
      </c>
      <c r="DI35">
        <f t="shared" si="78"/>
        <v>683494.44330422964</v>
      </c>
    </row>
    <row r="36" spans="1:113" x14ac:dyDescent="0.3">
      <c r="A36" s="1">
        <v>45517</v>
      </c>
      <c r="B36">
        <v>33</v>
      </c>
      <c r="C36">
        <v>1</v>
      </c>
      <c r="D36">
        <v>0.31067961165048502</v>
      </c>
      <c r="E36">
        <v>-0.74851074817110097</v>
      </c>
      <c r="F36">
        <v>-0.66312265824079497</v>
      </c>
      <c r="G36">
        <v>1.0051822404389299</v>
      </c>
      <c r="H36">
        <v>0.98075540512252302</v>
      </c>
      <c r="I36">
        <v>0.81783333396589697</v>
      </c>
      <c r="J36">
        <v>2.3804884533487499E-2</v>
      </c>
      <c r="K36">
        <v>76.911002233053395</v>
      </c>
      <c r="L36">
        <v>0.99106004852224105</v>
      </c>
      <c r="M36">
        <v>7.3402052046953097</v>
      </c>
      <c r="N36">
        <v>1.2116360111461499</v>
      </c>
      <c r="O36">
        <v>0.31727113410861901</v>
      </c>
      <c r="P36">
        <v>2.6625464605699398</v>
      </c>
      <c r="Q36">
        <v>2.3789877243106701</v>
      </c>
      <c r="R36">
        <v>0.252125865579858</v>
      </c>
      <c r="S36">
        <v>0.79741472429388105</v>
      </c>
      <c r="T36">
        <v>0.30848830824863499</v>
      </c>
      <c r="U36">
        <v>21</v>
      </c>
      <c r="V36">
        <v>161</v>
      </c>
      <c r="W36">
        <v>1849</v>
      </c>
      <c r="X36">
        <v>9046.6401639504402</v>
      </c>
      <c r="Y36">
        <f t="shared" si="8"/>
        <v>16727237.663144363</v>
      </c>
      <c r="Z36">
        <f t="shared" si="70"/>
        <v>14.00661367589556</v>
      </c>
      <c r="AA36">
        <f t="shared" si="80"/>
        <v>6.7533861193742224</v>
      </c>
      <c r="AB36">
        <f t="shared" si="81"/>
        <v>1.6513757467886623</v>
      </c>
      <c r="AC36">
        <f t="shared" si="82"/>
        <v>3.7014727377848438</v>
      </c>
      <c r="AD36">
        <f t="shared" si="83"/>
        <v>3.1210788684815265</v>
      </c>
      <c r="AE36">
        <f t="shared" si="84"/>
        <v>1.0349527204389148</v>
      </c>
      <c r="AF36">
        <f t="shared" si="85"/>
        <v>8.6812323484314931</v>
      </c>
      <c r="AG36">
        <f t="shared" si="86"/>
        <v>2.4709385230356529</v>
      </c>
      <c r="AH36">
        <f t="shared" ref="AH36:AH67" si="87">PERCENTILE(Z$4:Z$107, 0.6)</f>
        <v>14.752361412031716</v>
      </c>
      <c r="AI36">
        <f t="shared" ref="AI36:AO51" si="88">PERCENTILE(AA$4:AA$107, 0.6)</f>
        <v>6.9687240579263854</v>
      </c>
      <c r="AJ36">
        <f t="shared" si="88"/>
        <v>4.6296050148216619</v>
      </c>
      <c r="AK36">
        <f t="shared" si="88"/>
        <v>3.6948385064954095</v>
      </c>
      <c r="AL36">
        <f t="shared" si="88"/>
        <v>2.5944664113759068</v>
      </c>
      <c r="AM36">
        <f t="shared" si="88"/>
        <v>2.3895751703221002</v>
      </c>
      <c r="AN36">
        <f t="shared" si="88"/>
        <v>6.5870344778956778</v>
      </c>
      <c r="AO36">
        <f t="shared" si="88"/>
        <v>3.6424813908642166</v>
      </c>
      <c r="AP36">
        <f t="shared" si="10"/>
        <v>0.47926248613954864</v>
      </c>
      <c r="AQ36">
        <f t="shared" si="11"/>
        <v>0.48901592561888396</v>
      </c>
      <c r="AR36">
        <f t="shared" si="12"/>
        <v>0.19914211115948866</v>
      </c>
      <c r="AS36">
        <f t="shared" si="13"/>
        <v>0.50056060295375071</v>
      </c>
      <c r="AT36">
        <f t="shared" si="14"/>
        <v>0.55749390309900926</v>
      </c>
      <c r="AU36">
        <f t="shared" si="15"/>
        <v>0.22181168682788693</v>
      </c>
      <c r="AV36">
        <f t="shared" si="16"/>
        <v>0.60206826741882835</v>
      </c>
      <c r="AW36">
        <f t="shared" si="17"/>
        <v>0.37194293484295576</v>
      </c>
      <c r="BC36">
        <f t="shared" si="18"/>
        <v>87.265590563271289</v>
      </c>
      <c r="BD36">
        <f t="shared" si="19"/>
        <v>60.848783185068882</v>
      </c>
      <c r="BE36">
        <f t="shared" si="20"/>
        <v>21.73054668255444</v>
      </c>
      <c r="BF36">
        <f t="shared" si="21"/>
        <v>36.176523405082513</v>
      </c>
      <c r="BG36">
        <f t="shared" si="22"/>
        <v>13.037060150756995</v>
      </c>
      <c r="BH36">
        <f t="shared" si="23"/>
        <v>27.175002619220283</v>
      </c>
      <c r="BI36">
        <f t="shared" si="24"/>
        <v>55.607411104562402</v>
      </c>
      <c r="BJ36">
        <f t="shared" si="25"/>
        <v>37.350099635815418</v>
      </c>
      <c r="BK36">
        <f t="shared" si="26"/>
        <v>3.6187676408088363</v>
      </c>
      <c r="BL36">
        <f t="shared" si="27"/>
        <v>-1.7307851589237573</v>
      </c>
      <c r="BM36">
        <f t="shared" si="28"/>
        <v>15.920290440313751</v>
      </c>
      <c r="BN36">
        <f t="shared" si="29"/>
        <v>7.1903320270165938E-2</v>
      </c>
      <c r="BO36">
        <f t="shared" si="30"/>
        <v>-3.6532451809374695</v>
      </c>
      <c r="BP36">
        <f t="shared" si="31"/>
        <v>16.704520631333104</v>
      </c>
      <c r="BQ36">
        <f t="shared" si="32"/>
        <v>-12.446793</v>
      </c>
      <c r="BR36">
        <f t="shared" si="33"/>
        <v>39.163453825242669</v>
      </c>
      <c r="BS36">
        <f t="shared" si="34"/>
        <v>7.513205075140287</v>
      </c>
      <c r="BT36">
        <f t="shared" si="35"/>
        <v>-1.0180000338212212</v>
      </c>
      <c r="BU36">
        <f t="shared" si="36"/>
        <v>178.75185999999999</v>
      </c>
      <c r="BV36">
        <f t="shared" si="37"/>
        <v>-90.93942899999999</v>
      </c>
      <c r="BW36">
        <f t="shared" si="38"/>
        <v>339.19101734633222</v>
      </c>
      <c r="BX36">
        <f t="shared" si="39"/>
        <v>1552.2049946356565</v>
      </c>
      <c r="BY36">
        <f t="shared" si="40"/>
        <v>1849</v>
      </c>
      <c r="BZ36">
        <v>1891.39599478901</v>
      </c>
      <c r="CD36">
        <v>1834.22434229129</v>
      </c>
      <c r="CG36">
        <f t="shared" si="41"/>
        <v>244.81161764189343</v>
      </c>
      <c r="CH36">
        <f t="shared" si="42"/>
        <v>178.10027006221563</v>
      </c>
      <c r="CI36">
        <f t="shared" si="43"/>
        <v>53.425217288506907</v>
      </c>
      <c r="CJ36">
        <f t="shared" si="44"/>
        <v>148.96601702245039</v>
      </c>
      <c r="CK36">
        <f t="shared" si="45"/>
        <v>82.818143846342409</v>
      </c>
      <c r="CL36">
        <f t="shared" si="46"/>
        <v>39.88141877746142</v>
      </c>
      <c r="CM36">
        <f t="shared" si="47"/>
        <v>136.81330191388355</v>
      </c>
      <c r="CN36">
        <f t="shared" si="48"/>
        <v>53.366334725030868</v>
      </c>
      <c r="CO36">
        <f t="shared" si="49"/>
        <v>593.6631924075806</v>
      </c>
      <c r="CP36">
        <f t="shared" si="50"/>
        <v>405.83658075516763</v>
      </c>
      <c r="CQ36">
        <f t="shared" si="51"/>
        <v>138.05714965878207</v>
      </c>
      <c r="CR36">
        <f t="shared" si="52"/>
        <v>10.445248874666619</v>
      </c>
      <c r="CS36">
        <f t="shared" si="53"/>
        <v>-45.808104786258717</v>
      </c>
      <c r="CT36">
        <f t="shared" si="54"/>
        <v>-26.885290948215292</v>
      </c>
      <c r="CU36">
        <f t="shared" si="55"/>
        <v>73.717350999999994</v>
      </c>
      <c r="CV36">
        <f t="shared" si="56"/>
        <v>26.14455611650482</v>
      </c>
      <c r="CW36">
        <f t="shared" si="57"/>
        <v>-3.110742396318078</v>
      </c>
      <c r="CX36">
        <f t="shared" si="58"/>
        <v>-497.53008551822342</v>
      </c>
      <c r="CY36">
        <f t="shared" si="59"/>
        <v>7.0967190000000002</v>
      </c>
      <c r="CZ36">
        <f t="shared" si="60"/>
        <v>8.6569559999999992</v>
      </c>
      <c r="DA36">
        <v>9046.6401639504402</v>
      </c>
      <c r="DB36">
        <f t="shared" si="71"/>
        <v>2214722.6127608311</v>
      </c>
      <c r="DC36">
        <f t="shared" si="72"/>
        <v>1611209.0563552601</v>
      </c>
      <c r="DD36">
        <f t="shared" si="73"/>
        <v>483318.71648998599</v>
      </c>
      <c r="DE36">
        <f t="shared" si="74"/>
        <v>1347641.9526590246</v>
      </c>
      <c r="DF36">
        <f t="shared" si="75"/>
        <v>749225.94642414618</v>
      </c>
      <c r="DG36">
        <f t="shared" si="76"/>
        <v>360792.84490750975</v>
      </c>
      <c r="DH36">
        <f t="shared" si="77"/>
        <v>1237700.7120568166</v>
      </c>
      <c r="DI36">
        <f t="shared" si="78"/>
        <v>482786.02712628734</v>
      </c>
    </row>
    <row r="37" spans="1:113" x14ac:dyDescent="0.3">
      <c r="A37" s="1">
        <v>45524</v>
      </c>
      <c r="B37">
        <v>34</v>
      </c>
      <c r="C37">
        <v>1</v>
      </c>
      <c r="D37">
        <v>0.32038834951456302</v>
      </c>
      <c r="E37">
        <v>-0.82298386589365602</v>
      </c>
      <c r="F37">
        <v>-0.56806474673115503</v>
      </c>
      <c r="G37">
        <v>1.0027409222541901</v>
      </c>
      <c r="H37">
        <v>0.98326978482620597</v>
      </c>
      <c r="I37">
        <v>0.82711562688465801</v>
      </c>
      <c r="J37">
        <v>5.0351824341789198E-2</v>
      </c>
      <c r="K37">
        <v>79.219215862135201</v>
      </c>
      <c r="L37">
        <v>0.98991708683477597</v>
      </c>
      <c r="M37">
        <v>5.6111327138470699</v>
      </c>
      <c r="N37">
        <v>2.4671512011686199</v>
      </c>
      <c r="O37">
        <v>2.35243107951871</v>
      </c>
      <c r="P37">
        <v>6.7071348007304801</v>
      </c>
      <c r="Q37">
        <v>2.96327787952313</v>
      </c>
      <c r="R37">
        <v>0.46860017391074699</v>
      </c>
      <c r="S37">
        <v>3.0655730960090799</v>
      </c>
      <c r="T37">
        <v>2.4968840519242899</v>
      </c>
      <c r="U37">
        <v>19</v>
      </c>
      <c r="V37">
        <v>156</v>
      </c>
      <c r="W37">
        <v>2031</v>
      </c>
      <c r="X37">
        <v>9024.6683002877398</v>
      </c>
      <c r="Y37">
        <f t="shared" si="8"/>
        <v>18329101.3178844</v>
      </c>
      <c r="Z37">
        <f t="shared" si="70"/>
        <v>14.015100919384405</v>
      </c>
      <c r="AA37">
        <f t="shared" si="80"/>
        <v>5.8438442608557306</v>
      </c>
      <c r="AB37">
        <f t="shared" si="81"/>
        <v>3.095550165573608</v>
      </c>
      <c r="AC37">
        <f t="shared" si="82"/>
        <v>7.8175766220659328</v>
      </c>
      <c r="AD37">
        <f t="shared" si="83"/>
        <v>4.0556554834916643</v>
      </c>
      <c r="AE37">
        <f t="shared" si="84"/>
        <v>0.98607653413020446</v>
      </c>
      <c r="AF37">
        <f t="shared" si="85"/>
        <v>9.1424357399111251</v>
      </c>
      <c r="AG37">
        <f t="shared" si="86"/>
        <v>3.855900239593899</v>
      </c>
      <c r="AH37">
        <f t="shared" si="87"/>
        <v>14.752361412031716</v>
      </c>
      <c r="AI37">
        <f t="shared" si="88"/>
        <v>6.9687240579263854</v>
      </c>
      <c r="AJ37">
        <f t="shared" si="88"/>
        <v>4.6296050148216619</v>
      </c>
      <c r="AK37">
        <f t="shared" si="88"/>
        <v>3.6948385064954095</v>
      </c>
      <c r="AL37">
        <f t="shared" si="88"/>
        <v>2.5944664113759068</v>
      </c>
      <c r="AM37">
        <f t="shared" si="88"/>
        <v>2.3895751703221002</v>
      </c>
      <c r="AN37">
        <f t="shared" si="88"/>
        <v>6.5870344778956778</v>
      </c>
      <c r="AO37">
        <f t="shared" si="88"/>
        <v>3.6424813908642166</v>
      </c>
      <c r="AP37">
        <f t="shared" si="10"/>
        <v>0.47950437894118103</v>
      </c>
      <c r="AQ37">
        <f t="shared" si="11"/>
        <v>0.43869485135491215</v>
      </c>
      <c r="AR37">
        <f t="shared" si="12"/>
        <v>0.36740096843294312</v>
      </c>
      <c r="AS37">
        <f t="shared" si="13"/>
        <v>0.71845225404257518</v>
      </c>
      <c r="AT37">
        <f t="shared" si="14"/>
        <v>0.6360855631926563</v>
      </c>
      <c r="AU37">
        <f t="shared" si="15"/>
        <v>0.2095391796199054</v>
      </c>
      <c r="AV37">
        <f t="shared" si="16"/>
        <v>0.62051516238011284</v>
      </c>
      <c r="AW37">
        <f t="shared" si="17"/>
        <v>0.51920757549646468</v>
      </c>
      <c r="BC37">
        <f t="shared" si="18"/>
        <v>87.309635150106132</v>
      </c>
      <c r="BD37">
        <f t="shared" si="19"/>
        <v>54.587277215395147</v>
      </c>
      <c r="BE37">
        <f t="shared" si="20"/>
        <v>40.091087963578467</v>
      </c>
      <c r="BF37">
        <f t="shared" si="21"/>
        <v>51.9239920809488</v>
      </c>
      <c r="BG37">
        <f t="shared" si="22"/>
        <v>14.874935317271161</v>
      </c>
      <c r="BH37">
        <f t="shared" si="23"/>
        <v>25.671450573380248</v>
      </c>
      <c r="BI37">
        <f t="shared" si="24"/>
        <v>57.311178147646309</v>
      </c>
      <c r="BJ37">
        <f t="shared" si="25"/>
        <v>52.138252564606788</v>
      </c>
      <c r="BK37">
        <f t="shared" si="26"/>
        <v>3.6099786243574545</v>
      </c>
      <c r="BL37">
        <f t="shared" si="27"/>
        <v>-1.7352224029626926</v>
      </c>
      <c r="BM37">
        <f t="shared" si="28"/>
        <v>16.100983489962552</v>
      </c>
      <c r="BN37">
        <f t="shared" si="29"/>
        <v>0.15208909527545586</v>
      </c>
      <c r="BO37">
        <f t="shared" si="30"/>
        <v>-4.0167250095091784</v>
      </c>
      <c r="BP37">
        <f t="shared" si="31"/>
        <v>14.309945775156775</v>
      </c>
      <c r="BQ37">
        <f t="shared" si="32"/>
        <v>-12.446793</v>
      </c>
      <c r="BR37">
        <f t="shared" si="33"/>
        <v>40.387311757281545</v>
      </c>
      <c r="BS37">
        <f t="shared" si="34"/>
        <v>7.7386875399244008</v>
      </c>
      <c r="BT37">
        <f t="shared" si="35"/>
        <v>-1.0168260030062057</v>
      </c>
      <c r="BU37">
        <f t="shared" si="36"/>
        <v>173.20056</v>
      </c>
      <c r="BV37">
        <f t="shared" si="37"/>
        <v>-82.278531000000001</v>
      </c>
      <c r="BW37">
        <f t="shared" si="38"/>
        <v>383.90780901293311</v>
      </c>
      <c r="BX37">
        <f t="shared" si="39"/>
        <v>1554.2547049427103</v>
      </c>
      <c r="BY37">
        <f t="shared" si="40"/>
        <v>2031</v>
      </c>
      <c r="BZ37">
        <v>1938.16249645157</v>
      </c>
      <c r="CD37">
        <v>1973.15780476947</v>
      </c>
      <c r="CG37">
        <f t="shared" si="41"/>
        <v>244.93517867530659</v>
      </c>
      <c r="CH37">
        <f t="shared" si="42"/>
        <v>159.77326587540537</v>
      </c>
      <c r="CI37">
        <f t="shared" si="43"/>
        <v>98.565172661134568</v>
      </c>
      <c r="CJ37">
        <f t="shared" si="44"/>
        <v>213.81021613363501</v>
      </c>
      <c r="CK37">
        <f t="shared" si="45"/>
        <v>94.493276748383423</v>
      </c>
      <c r="CL37">
        <f t="shared" si="46"/>
        <v>37.674839825691819</v>
      </c>
      <c r="CM37">
        <f t="shared" si="47"/>
        <v>141.00515314785042</v>
      </c>
      <c r="CN37">
        <f t="shared" si="48"/>
        <v>74.495850492267621</v>
      </c>
      <c r="CO37">
        <f t="shared" si="49"/>
        <v>592.22134366719456</v>
      </c>
      <c r="CP37">
        <f t="shared" si="50"/>
        <v>406.87703106146535</v>
      </c>
      <c r="CQ37">
        <f t="shared" si="51"/>
        <v>139.62407882324612</v>
      </c>
      <c r="CR37">
        <f t="shared" si="52"/>
        <v>22.0936730780451</v>
      </c>
      <c r="CS37">
        <f t="shared" si="53"/>
        <v>-50.365784670922658</v>
      </c>
      <c r="CT37">
        <f t="shared" si="54"/>
        <v>-23.031313744893197</v>
      </c>
      <c r="CU37">
        <f t="shared" si="55"/>
        <v>73.717350999999994</v>
      </c>
      <c r="CV37">
        <f t="shared" si="56"/>
        <v>26.961573495145622</v>
      </c>
      <c r="CW37">
        <f t="shared" si="57"/>
        <v>-3.2041004047599206</v>
      </c>
      <c r="CX37">
        <f t="shared" si="58"/>
        <v>-496.95629806008048</v>
      </c>
      <c r="CY37">
        <f t="shared" si="59"/>
        <v>6.8763240000000003</v>
      </c>
      <c r="CZ37">
        <f t="shared" si="60"/>
        <v>7.832484</v>
      </c>
      <c r="DA37">
        <v>9024.6683002877398</v>
      </c>
      <c r="DB37">
        <f t="shared" si="71"/>
        <v>2210458.7426163531</v>
      </c>
      <c r="DC37">
        <f t="shared" si="72"/>
        <v>1441900.7277792157</v>
      </c>
      <c r="DD37">
        <f t="shared" si="73"/>
        <v>889517.98922732892</v>
      </c>
      <c r="DE37">
        <f t="shared" si="74"/>
        <v>1929566.2798188862</v>
      </c>
      <c r="DF37">
        <f t="shared" si="75"/>
        <v>852770.47926145245</v>
      </c>
      <c r="DG37">
        <f t="shared" si="76"/>
        <v>340002.93269333901</v>
      </c>
      <c r="DH37">
        <f t="shared" si="77"/>
        <v>1272524.7357906238</v>
      </c>
      <c r="DI37">
        <f t="shared" si="78"/>
        <v>672300.34044054244</v>
      </c>
    </row>
    <row r="38" spans="1:113" x14ac:dyDescent="0.3">
      <c r="A38" s="1">
        <v>45531</v>
      </c>
      <c r="B38">
        <v>35</v>
      </c>
      <c r="C38">
        <v>1</v>
      </c>
      <c r="D38">
        <v>0.33009708737864002</v>
      </c>
      <c r="E38">
        <v>-0.88545602565320902</v>
      </c>
      <c r="F38">
        <v>-0.46472317204376901</v>
      </c>
      <c r="G38">
        <v>1.00458886052192</v>
      </c>
      <c r="H38">
        <v>0.98925997750128103</v>
      </c>
      <c r="I38">
        <v>0.811937279193229</v>
      </c>
      <c r="J38">
        <v>5.0802537225602698E-2</v>
      </c>
      <c r="K38">
        <v>64.976394628034896</v>
      </c>
      <c r="L38">
        <v>0.99014002747773</v>
      </c>
      <c r="M38">
        <v>13.346879433415999</v>
      </c>
      <c r="N38">
        <v>5.2431332654852199</v>
      </c>
      <c r="O38">
        <v>3.7623736608608498</v>
      </c>
      <c r="P38">
        <v>1.01114602403516</v>
      </c>
      <c r="Q38">
        <v>3.5513719545495102</v>
      </c>
      <c r="R38">
        <v>7.2172339493574098</v>
      </c>
      <c r="S38">
        <v>3.6344226304280398</v>
      </c>
      <c r="T38">
        <v>1.66492758162217</v>
      </c>
      <c r="U38">
        <v>16</v>
      </c>
      <c r="V38">
        <v>168</v>
      </c>
      <c r="W38">
        <v>2231</v>
      </c>
      <c r="X38">
        <v>9041.2997446972804</v>
      </c>
      <c r="Y38">
        <f t="shared" si="8"/>
        <v>20171139.730419632</v>
      </c>
      <c r="Z38">
        <f t="shared" si="70"/>
        <v>21.755939985046645</v>
      </c>
      <c r="AA38">
        <f t="shared" si="80"/>
        <v>8.165055395913086</v>
      </c>
      <c r="AB38">
        <f t="shared" si="81"/>
        <v>5.1553712353689729</v>
      </c>
      <c r="AC38">
        <f t="shared" si="82"/>
        <v>3.3564190106549399</v>
      </c>
      <c r="AD38">
        <f t="shared" si="83"/>
        <v>4.9708513737715929</v>
      </c>
      <c r="AE38">
        <f t="shared" si="84"/>
        <v>7.7102722164225117</v>
      </c>
      <c r="AF38">
        <f t="shared" si="85"/>
        <v>10.034127648365827</v>
      </c>
      <c r="AG38">
        <f t="shared" si="86"/>
        <v>3.7856727133988146</v>
      </c>
      <c r="AH38">
        <f t="shared" si="87"/>
        <v>14.752361412031716</v>
      </c>
      <c r="AI38">
        <f t="shared" si="88"/>
        <v>6.9687240579263854</v>
      </c>
      <c r="AJ38">
        <f t="shared" si="88"/>
        <v>4.6296050148216619</v>
      </c>
      <c r="AK38">
        <f t="shared" si="88"/>
        <v>3.6948385064954095</v>
      </c>
      <c r="AL38">
        <f t="shared" si="88"/>
        <v>2.5944664113759068</v>
      </c>
      <c r="AM38">
        <f t="shared" si="88"/>
        <v>2.3895751703221002</v>
      </c>
      <c r="AN38">
        <f t="shared" si="88"/>
        <v>6.5870344778956778</v>
      </c>
      <c r="AO38">
        <f t="shared" si="88"/>
        <v>3.6424813908642166</v>
      </c>
      <c r="AP38">
        <f t="shared" si="10"/>
        <v>0.65057641188890625</v>
      </c>
      <c r="AQ38">
        <f t="shared" si="11"/>
        <v>0.55522475557602424</v>
      </c>
      <c r="AR38">
        <f t="shared" si="12"/>
        <v>0.53624039323500217</v>
      </c>
      <c r="AS38">
        <f t="shared" si="13"/>
        <v>0.47001657669872532</v>
      </c>
      <c r="AT38">
        <f t="shared" si="14"/>
        <v>0.69269793136798619</v>
      </c>
      <c r="AU38">
        <f t="shared" si="15"/>
        <v>0.85285321742266285</v>
      </c>
      <c r="AV38">
        <f t="shared" si="16"/>
        <v>0.65279170100888506</v>
      </c>
      <c r="AW38">
        <f t="shared" si="17"/>
        <v>0.51301054000271396</v>
      </c>
      <c r="BC38">
        <f t="shared" si="18"/>
        <v>118.45895815323348</v>
      </c>
      <c r="BD38">
        <f t="shared" si="19"/>
        <v>69.087219865634012</v>
      </c>
      <c r="BE38">
        <f t="shared" si="20"/>
        <v>58.514981238358416</v>
      </c>
      <c r="BF38">
        <f t="shared" si="21"/>
        <v>33.969045081418926</v>
      </c>
      <c r="BG38">
        <f t="shared" si="22"/>
        <v>16.198822170698328</v>
      </c>
      <c r="BH38">
        <f t="shared" si="23"/>
        <v>104.48632688707141</v>
      </c>
      <c r="BI38">
        <f t="shared" si="24"/>
        <v>60.292259944660969</v>
      </c>
      <c r="BJ38">
        <f t="shared" si="25"/>
        <v>51.515953089457454</v>
      </c>
      <c r="BK38">
        <f t="shared" si="26"/>
        <v>3.6166314072424299</v>
      </c>
      <c r="BL38">
        <f t="shared" si="27"/>
        <v>-1.7457935775154532</v>
      </c>
      <c r="BM38">
        <f t="shared" si="28"/>
        <v>15.805515338181774</v>
      </c>
      <c r="BN38">
        <f t="shared" si="29"/>
        <v>0.15345048616097526</v>
      </c>
      <c r="BO38">
        <f t="shared" si="30"/>
        <v>-4.3216319425652321</v>
      </c>
      <c r="BP38">
        <f t="shared" si="31"/>
        <v>11.706699686387113</v>
      </c>
      <c r="BQ38">
        <f t="shared" si="32"/>
        <v>-12.446793</v>
      </c>
      <c r="BR38">
        <f t="shared" si="33"/>
        <v>41.611169689320292</v>
      </c>
      <c r="BS38">
        <f t="shared" si="34"/>
        <v>6.3473490620288446</v>
      </c>
      <c r="BT38">
        <f t="shared" si="35"/>
        <v>-1.0170550038446571</v>
      </c>
      <c r="BU38">
        <f t="shared" si="36"/>
        <v>186.52368000000001</v>
      </c>
      <c r="BV38">
        <f t="shared" si="37"/>
        <v>-69.287183999999996</v>
      </c>
      <c r="BW38">
        <f t="shared" si="38"/>
        <v>512.52356643053292</v>
      </c>
      <c r="BX38">
        <f t="shared" si="39"/>
        <v>1577.1952842216263</v>
      </c>
      <c r="BY38">
        <f t="shared" si="40"/>
        <v>2231</v>
      </c>
      <c r="BZ38">
        <v>2089.7188363506302</v>
      </c>
      <c r="CD38">
        <v>2207.0128997759698</v>
      </c>
      <c r="CG38">
        <f t="shared" si="41"/>
        <v>332.32032216226298</v>
      </c>
      <c r="CH38">
        <f t="shared" si="42"/>
        <v>202.21361663870317</v>
      </c>
      <c r="CI38">
        <f t="shared" si="43"/>
        <v>143.86088085864571</v>
      </c>
      <c r="CJ38">
        <f t="shared" si="44"/>
        <v>139.87616474843776</v>
      </c>
      <c r="CK38">
        <f t="shared" si="45"/>
        <v>102.90329024801787</v>
      </c>
      <c r="CL38">
        <f t="shared" si="46"/>
        <v>153.34176844401662</v>
      </c>
      <c r="CM38">
        <f t="shared" si="47"/>
        <v>148.33963673238628</v>
      </c>
      <c r="CN38">
        <f t="shared" si="48"/>
        <v>73.606700465524852</v>
      </c>
      <c r="CO38">
        <f t="shared" si="49"/>
        <v>593.31274071666246</v>
      </c>
      <c r="CP38">
        <f t="shared" si="50"/>
        <v>409.35577275447025</v>
      </c>
      <c r="CQ38">
        <f t="shared" si="51"/>
        <v>137.06184599195873</v>
      </c>
      <c r="CR38">
        <f t="shared" si="52"/>
        <v>22.291439558946443</v>
      </c>
      <c r="CS38">
        <f t="shared" si="53"/>
        <v>-54.189018001214585</v>
      </c>
      <c r="CT38">
        <f t="shared" si="54"/>
        <v>-18.841488125168699</v>
      </c>
      <c r="CU38">
        <f t="shared" si="55"/>
        <v>73.717350999999994</v>
      </c>
      <c r="CV38">
        <f t="shared" si="56"/>
        <v>27.778590873786342</v>
      </c>
      <c r="CW38">
        <f t="shared" si="57"/>
        <v>-2.6280352571254997</v>
      </c>
      <c r="CX38">
        <f t="shared" si="58"/>
        <v>-497.06821829873786</v>
      </c>
      <c r="CY38">
        <f t="shared" si="59"/>
        <v>7.4052720000000001</v>
      </c>
      <c r="CZ38">
        <f t="shared" si="60"/>
        <v>6.5957759999999999</v>
      </c>
      <c r="DA38">
        <v>9041.2997446972804</v>
      </c>
      <c r="DB38">
        <f t="shared" si="71"/>
        <v>3004607.6439233865</v>
      </c>
      <c r="DC38">
        <f t="shared" si="72"/>
        <v>1828273.9204898207</v>
      </c>
      <c r="DD38">
        <f t="shared" si="73"/>
        <v>1300689.3453791994</v>
      </c>
      <c r="DE38">
        <f t="shared" si="74"/>
        <v>1264662.3326292851</v>
      </c>
      <c r="DF38">
        <f t="shared" si="75"/>
        <v>930379.49184791406</v>
      </c>
      <c r="DG38">
        <f t="shared" si="76"/>
        <v>1386408.8918843169</v>
      </c>
      <c r="DH38">
        <f t="shared" si="77"/>
        <v>1341183.1197170115</v>
      </c>
      <c r="DI38">
        <f t="shared" si="78"/>
        <v>665500.24212695903</v>
      </c>
    </row>
    <row r="39" spans="1:113" x14ac:dyDescent="0.3">
      <c r="A39" s="1">
        <v>45538</v>
      </c>
      <c r="B39">
        <v>36</v>
      </c>
      <c r="C39">
        <v>1</v>
      </c>
      <c r="D39">
        <v>0.33980582524271802</v>
      </c>
      <c r="E39">
        <v>-0.93501624268541395</v>
      </c>
      <c r="F39">
        <v>-0.35460488704253501</v>
      </c>
      <c r="G39">
        <v>1.0079757774000799</v>
      </c>
      <c r="H39">
        <v>0.99800156489930303</v>
      </c>
      <c r="I39">
        <v>0.81630042133249703</v>
      </c>
      <c r="J39">
        <v>2.0209784527428401E-2</v>
      </c>
      <c r="K39">
        <v>87.308025406354801</v>
      </c>
      <c r="L39">
        <v>0.99068934187440605</v>
      </c>
      <c r="M39">
        <v>29.949704106757299</v>
      </c>
      <c r="N39">
        <v>4.8996952384967098</v>
      </c>
      <c r="O39">
        <v>1.5883572563005699</v>
      </c>
      <c r="P39">
        <v>3.95557686381109</v>
      </c>
      <c r="Q39">
        <v>0.52903639523241897</v>
      </c>
      <c r="R39">
        <v>0.230254101976297</v>
      </c>
      <c r="S39">
        <v>0.43117320510033602</v>
      </c>
      <c r="T39">
        <v>1.43019415597387</v>
      </c>
      <c r="U39">
        <v>19</v>
      </c>
      <c r="V39">
        <v>156</v>
      </c>
      <c r="W39">
        <v>2217</v>
      </c>
      <c r="X39">
        <v>9071.7819966007501</v>
      </c>
      <c r="Y39">
        <f t="shared" si="8"/>
        <v>20112140.686463863</v>
      </c>
      <c r="Z39">
        <f t="shared" si="70"/>
        <v>43.003268097785288</v>
      </c>
      <c r="AA39">
        <f t="shared" si="80"/>
        <v>8.9822229364532529</v>
      </c>
      <c r="AB39">
        <f t="shared" si="81"/>
        <v>3.9082743122166077</v>
      </c>
      <c r="AC39">
        <f t="shared" si="82"/>
        <v>4.9625025670075722</v>
      </c>
      <c r="AD39">
        <f t="shared" si="83"/>
        <v>2.2688343760524763</v>
      </c>
      <c r="AE39">
        <f t="shared" si="84"/>
        <v>4.085390210187553</v>
      </c>
      <c r="AF39">
        <f t="shared" si="85"/>
        <v>7.4550625589564143</v>
      </c>
      <c r="AG39">
        <f t="shared" si="86"/>
        <v>3.5123141483432181</v>
      </c>
      <c r="AH39">
        <f t="shared" si="87"/>
        <v>14.752361412031716</v>
      </c>
      <c r="AI39">
        <f t="shared" si="88"/>
        <v>6.9687240579263854</v>
      </c>
      <c r="AJ39">
        <f t="shared" si="88"/>
        <v>4.6296050148216619</v>
      </c>
      <c r="AK39">
        <f t="shared" si="88"/>
        <v>3.6948385064954095</v>
      </c>
      <c r="AL39">
        <f t="shared" si="88"/>
        <v>2.5944664113759068</v>
      </c>
      <c r="AM39">
        <f t="shared" si="88"/>
        <v>2.3895751703221002</v>
      </c>
      <c r="AN39">
        <f t="shared" si="88"/>
        <v>6.5870344778956778</v>
      </c>
      <c r="AO39">
        <f t="shared" si="88"/>
        <v>3.6424813908642166</v>
      </c>
      <c r="AP39">
        <f t="shared" si="10"/>
        <v>0.84706918174322965</v>
      </c>
      <c r="AQ39">
        <f t="shared" si="11"/>
        <v>0.58791223987493968</v>
      </c>
      <c r="AR39">
        <f t="shared" si="12"/>
        <v>0.44308349449739615</v>
      </c>
      <c r="AS39">
        <f t="shared" si="13"/>
        <v>0.59114883820076669</v>
      </c>
      <c r="AT39">
        <f t="shared" si="14"/>
        <v>0.4581870483518834</v>
      </c>
      <c r="AU39">
        <f t="shared" si="15"/>
        <v>0.69092610197214011</v>
      </c>
      <c r="AV39">
        <f t="shared" si="16"/>
        <v>0.54628836436970951</v>
      </c>
      <c r="AW39">
        <f t="shared" si="17"/>
        <v>0.4877208348685515</v>
      </c>
      <c r="BC39">
        <f t="shared" si="18"/>
        <v>154.23696727902538</v>
      </c>
      <c r="BD39">
        <f t="shared" si="19"/>
        <v>73.154559068243486</v>
      </c>
      <c r="BE39">
        <f t="shared" si="20"/>
        <v>48.349625829434963</v>
      </c>
      <c r="BF39">
        <f t="shared" si="21"/>
        <v>42.723517701678382</v>
      </c>
      <c r="BG39">
        <f t="shared" si="22"/>
        <v>10.714757733593451</v>
      </c>
      <c r="BH39">
        <f t="shared" si="23"/>
        <v>84.648013363468976</v>
      </c>
      <c r="BI39">
        <f t="shared" si="24"/>
        <v>50.455543504027929</v>
      </c>
      <c r="BJ39">
        <f t="shared" si="25"/>
        <v>48.976388769139916</v>
      </c>
      <c r="BK39">
        <f t="shared" si="26"/>
        <v>3.6288246839515792</v>
      </c>
      <c r="BL39">
        <f t="shared" si="27"/>
        <v>-1.7612202676513504</v>
      </c>
      <c r="BM39">
        <f t="shared" si="28"/>
        <v>15.890450113037032</v>
      </c>
      <c r="BN39">
        <f t="shared" si="29"/>
        <v>6.1044220039064255E-2</v>
      </c>
      <c r="BO39">
        <f t="shared" si="30"/>
        <v>-4.563519750431059</v>
      </c>
      <c r="BP39">
        <f t="shared" si="31"/>
        <v>8.9327435549979519</v>
      </c>
      <c r="BQ39">
        <f t="shared" si="32"/>
        <v>-12.446793</v>
      </c>
      <c r="BR39">
        <f t="shared" si="33"/>
        <v>42.835027621359167</v>
      </c>
      <c r="BS39">
        <f t="shared" si="34"/>
        <v>8.5288590778705817</v>
      </c>
      <c r="BT39">
        <f t="shared" si="35"/>
        <v>-1.017619250254578</v>
      </c>
      <c r="BU39">
        <f t="shared" si="36"/>
        <v>173.20056</v>
      </c>
      <c r="BV39">
        <f t="shared" si="37"/>
        <v>-82.278531000000001</v>
      </c>
      <c r="BW39">
        <f t="shared" si="38"/>
        <v>513.25937324861252</v>
      </c>
      <c r="BX39">
        <f t="shared" si="39"/>
        <v>1551.2590720791484</v>
      </c>
      <c r="BY39">
        <f t="shared" si="40"/>
        <v>2217</v>
      </c>
      <c r="BZ39">
        <v>2064.51842590365</v>
      </c>
      <c r="CD39">
        <v>2233.2705884614902</v>
      </c>
      <c r="CG39">
        <f t="shared" si="41"/>
        <v>432.6906082458824</v>
      </c>
      <c r="CH39">
        <f t="shared" si="42"/>
        <v>214.11844320222167</v>
      </c>
      <c r="CI39">
        <f t="shared" si="43"/>
        <v>118.86904197533629</v>
      </c>
      <c r="CJ39">
        <f t="shared" si="44"/>
        <v>175.9249277201977</v>
      </c>
      <c r="CK39">
        <f t="shared" si="45"/>
        <v>68.065678688145567</v>
      </c>
      <c r="CL39">
        <f t="shared" si="46"/>
        <v>124.22750852803851</v>
      </c>
      <c r="CM39">
        <f t="shared" si="47"/>
        <v>124.1379407803305</v>
      </c>
      <c r="CN39">
        <f t="shared" si="48"/>
        <v>69.978136127135443</v>
      </c>
      <c r="CO39">
        <f t="shared" si="49"/>
        <v>595.31306245476799</v>
      </c>
      <c r="CP39">
        <f t="shared" si="50"/>
        <v>412.97304156732224</v>
      </c>
      <c r="CQ39">
        <f t="shared" si="51"/>
        <v>137.79838110527143</v>
      </c>
      <c r="CR39">
        <f t="shared" si="52"/>
        <v>8.8677695031629717</v>
      </c>
      <c r="CS39">
        <f t="shared" si="53"/>
        <v>-57.222053426007193</v>
      </c>
      <c r="CT39">
        <f t="shared" si="54"/>
        <v>-14.376911181242859</v>
      </c>
      <c r="CU39">
        <f t="shared" si="55"/>
        <v>73.717350999999994</v>
      </c>
      <c r="CV39">
        <f t="shared" si="56"/>
        <v>28.595608252427148</v>
      </c>
      <c r="CW39">
        <f t="shared" si="57"/>
        <v>-3.5312603955854267</v>
      </c>
      <c r="CX39">
        <f t="shared" si="58"/>
        <v>-497.34398407010781</v>
      </c>
      <c r="CY39">
        <f t="shared" si="59"/>
        <v>6.8763240000000003</v>
      </c>
      <c r="CZ39">
        <f t="shared" si="60"/>
        <v>7.832484</v>
      </c>
      <c r="DA39">
        <v>9071.7819966007501</v>
      </c>
      <c r="DB39">
        <f t="shared" si="71"/>
        <v>3925274.8699832242</v>
      </c>
      <c r="DC39">
        <f t="shared" si="72"/>
        <v>1942435.8381820947</v>
      </c>
      <c r="DD39">
        <f t="shared" si="73"/>
        <v>1078354.0349450347</v>
      </c>
      <c r="DE39">
        <f t="shared" si="74"/>
        <v>1595952.5920453777</v>
      </c>
      <c r="DF39">
        <f t="shared" si="75"/>
        <v>617476.99850953033</v>
      </c>
      <c r="DG39">
        <f t="shared" si="76"/>
        <v>1126964.8753472259</v>
      </c>
      <c r="DH39">
        <f t="shared" si="77"/>
        <v>1126152.3362660923</v>
      </c>
      <c r="DI39">
        <f t="shared" si="78"/>
        <v>634826.39547382388</v>
      </c>
    </row>
    <row r="40" spans="1:113" x14ac:dyDescent="0.3">
      <c r="A40" s="1">
        <v>45545</v>
      </c>
      <c r="B40">
        <v>37</v>
      </c>
      <c r="C40">
        <v>1</v>
      </c>
      <c r="D40">
        <v>0.34951456310679602</v>
      </c>
      <c r="E40">
        <v>-0.97094181742605201</v>
      </c>
      <c r="F40">
        <v>-0.23931566428755699</v>
      </c>
      <c r="G40">
        <v>1.00763393502711</v>
      </c>
      <c r="H40">
        <v>0.99924479319913095</v>
      </c>
      <c r="I40">
        <v>0.85371965558630203</v>
      </c>
      <c r="J40">
        <v>2.8966090218427502E-2</v>
      </c>
      <c r="K40">
        <v>102.622504565062</v>
      </c>
      <c r="L40">
        <v>0.99131554981251901</v>
      </c>
      <c r="M40">
        <v>9.3106025147083198</v>
      </c>
      <c r="N40">
        <v>2.1257774800152802</v>
      </c>
      <c r="O40">
        <v>2.2655177284478598</v>
      </c>
      <c r="P40">
        <v>1.75692272464647</v>
      </c>
      <c r="Q40">
        <v>0.99794882221618997</v>
      </c>
      <c r="R40">
        <v>0.43854083147412098</v>
      </c>
      <c r="S40">
        <v>1.2327875186711299</v>
      </c>
      <c r="T40">
        <v>1.6740402343918499</v>
      </c>
      <c r="U40">
        <v>16</v>
      </c>
      <c r="V40">
        <v>144</v>
      </c>
      <c r="W40">
        <v>2096</v>
      </c>
      <c r="X40">
        <v>9068.7054152440596</v>
      </c>
      <c r="Y40">
        <f t="shared" si="8"/>
        <v>19008006.550351549</v>
      </c>
      <c r="Z40">
        <f t="shared" si="70"/>
        <v>35.112563373379494</v>
      </c>
      <c r="AA40">
        <f t="shared" si="80"/>
        <v>6.6168889482419067</v>
      </c>
      <c r="AB40">
        <f t="shared" si="81"/>
        <v>4.0242411689453332</v>
      </c>
      <c r="AC40">
        <f t="shared" si="82"/>
        <v>3.2456734947487416</v>
      </c>
      <c r="AD40">
        <f t="shared" si="83"/>
        <v>1.7920408538345565</v>
      </c>
      <c r="AE40">
        <f t="shared" si="84"/>
        <v>2.4812359365678973</v>
      </c>
      <c r="AF40">
        <f t="shared" si="85"/>
        <v>6.4513313099406195</v>
      </c>
      <c r="AG40">
        <f t="shared" si="86"/>
        <v>3.6058130159806199</v>
      </c>
      <c r="AH40">
        <f t="shared" si="87"/>
        <v>14.752361412031716</v>
      </c>
      <c r="AI40">
        <f t="shared" si="88"/>
        <v>6.9687240579263854</v>
      </c>
      <c r="AJ40">
        <f t="shared" si="88"/>
        <v>4.6296050148216619</v>
      </c>
      <c r="AK40">
        <f t="shared" si="88"/>
        <v>3.6948385064954095</v>
      </c>
      <c r="AL40">
        <f t="shared" si="88"/>
        <v>2.5944664113759068</v>
      </c>
      <c r="AM40">
        <f t="shared" si="88"/>
        <v>2.3895751703221002</v>
      </c>
      <c r="AN40">
        <f t="shared" si="88"/>
        <v>6.5870344778956778</v>
      </c>
      <c r="AO40">
        <f t="shared" si="88"/>
        <v>3.6424813908642166</v>
      </c>
      <c r="AP40">
        <f t="shared" si="10"/>
        <v>0.80018473108034316</v>
      </c>
      <c r="AQ40">
        <f t="shared" si="11"/>
        <v>0.48187555278997635</v>
      </c>
      <c r="AR40">
        <f t="shared" si="12"/>
        <v>0.45284492935146192</v>
      </c>
      <c r="AS40">
        <f t="shared" si="13"/>
        <v>0.45958400443214736</v>
      </c>
      <c r="AT40">
        <f t="shared" si="14"/>
        <v>0.38638528738114869</v>
      </c>
      <c r="AU40">
        <f t="shared" si="15"/>
        <v>0.51411170142270557</v>
      </c>
      <c r="AV40">
        <f t="shared" si="16"/>
        <v>0.49219436055445998</v>
      </c>
      <c r="AW40">
        <f t="shared" si="17"/>
        <v>0.4965852684798725</v>
      </c>
      <c r="BC40">
        <f t="shared" si="18"/>
        <v>145.70010200445006</v>
      </c>
      <c r="BD40">
        <f t="shared" si="19"/>
        <v>59.960298832382641</v>
      </c>
      <c r="BE40">
        <f t="shared" si="20"/>
        <v>49.414801419619934</v>
      </c>
      <c r="BF40">
        <f t="shared" si="21"/>
        <v>33.215062062080221</v>
      </c>
      <c r="BG40">
        <f t="shared" si="22"/>
        <v>9.0356651524867857</v>
      </c>
      <c r="BH40">
        <f t="shared" si="23"/>
        <v>62.985801300787628</v>
      </c>
      <c r="BI40">
        <f t="shared" si="24"/>
        <v>45.459386637395042</v>
      </c>
      <c r="BJ40">
        <f t="shared" si="25"/>
        <v>49.866545423782931</v>
      </c>
      <c r="BK40">
        <f t="shared" si="26"/>
        <v>3.627594013464384</v>
      </c>
      <c r="BL40">
        <f t="shared" si="27"/>
        <v>-1.7634142510637869</v>
      </c>
      <c r="BM40">
        <f t="shared" si="28"/>
        <v>16.618868792776922</v>
      </c>
      <c r="BN40">
        <f t="shared" si="29"/>
        <v>8.7492886555286392E-2</v>
      </c>
      <c r="BO40">
        <f t="shared" si="30"/>
        <v>-4.7388611641840708</v>
      </c>
      <c r="BP40">
        <f t="shared" si="31"/>
        <v>6.0285279077902407</v>
      </c>
      <c r="BQ40">
        <f t="shared" si="32"/>
        <v>-12.446793</v>
      </c>
      <c r="BR40">
        <f t="shared" si="33"/>
        <v>44.058885553398042</v>
      </c>
      <c r="BS40">
        <f t="shared" si="34"/>
        <v>10.024884603447211</v>
      </c>
      <c r="BT40">
        <f t="shared" si="35"/>
        <v>-1.0182624804030727</v>
      </c>
      <c r="BU40">
        <f t="shared" si="36"/>
        <v>159.87744000000001</v>
      </c>
      <c r="BV40">
        <f t="shared" si="37"/>
        <v>-69.287183999999996</v>
      </c>
      <c r="BW40">
        <f t="shared" si="38"/>
        <v>455.63766283298526</v>
      </c>
      <c r="BX40">
        <f t="shared" si="39"/>
        <v>1551.3184249380113</v>
      </c>
      <c r="BY40">
        <f t="shared" si="40"/>
        <v>2096</v>
      </c>
      <c r="BZ40">
        <v>2006.95606574467</v>
      </c>
      <c r="CD40">
        <v>2091.7549178522299</v>
      </c>
      <c r="CG40">
        <f t="shared" si="41"/>
        <v>408.74160630857921</v>
      </c>
      <c r="CH40">
        <f t="shared" si="42"/>
        <v>175.4997364956167</v>
      </c>
      <c r="CI40">
        <f t="shared" si="43"/>
        <v>121.4878089206581</v>
      </c>
      <c r="CJ40">
        <f t="shared" si="44"/>
        <v>136.7714482991598</v>
      </c>
      <c r="CK40">
        <f t="shared" si="45"/>
        <v>57.39921483008446</v>
      </c>
      <c r="CL40">
        <f t="shared" si="46"/>
        <v>92.436536397388593</v>
      </c>
      <c r="CM40">
        <f t="shared" si="47"/>
        <v>111.84568145326958</v>
      </c>
      <c r="CN40">
        <f t="shared" si="48"/>
        <v>71.250004166379981</v>
      </c>
      <c r="CO40">
        <f t="shared" si="49"/>
        <v>595.11116947827759</v>
      </c>
      <c r="CP40">
        <f t="shared" si="50"/>
        <v>413.48748943033166</v>
      </c>
      <c r="CQ40">
        <f t="shared" si="51"/>
        <v>144.11506276758919</v>
      </c>
      <c r="CR40">
        <f t="shared" si="52"/>
        <v>12.70991341427842</v>
      </c>
      <c r="CS40">
        <f t="shared" si="53"/>
        <v>-59.420662459006053</v>
      </c>
      <c r="CT40">
        <f t="shared" si="54"/>
        <v>-9.7026864983099816</v>
      </c>
      <c r="CU40">
        <f t="shared" si="55"/>
        <v>73.717350999999994</v>
      </c>
      <c r="CV40">
        <f t="shared" si="56"/>
        <v>29.41262563106795</v>
      </c>
      <c r="CW40">
        <f t="shared" si="57"/>
        <v>-4.1506698196384981</v>
      </c>
      <c r="CX40">
        <f t="shared" si="58"/>
        <v>-497.65835179128283</v>
      </c>
      <c r="CY40">
        <f t="shared" si="59"/>
        <v>6.3473759999999997</v>
      </c>
      <c r="CZ40">
        <f t="shared" si="60"/>
        <v>6.5957759999999999</v>
      </c>
      <c r="DA40">
        <v>9068.7054152440596</v>
      </c>
      <c r="DB40">
        <f t="shared" si="71"/>
        <v>3706757.2185661676</v>
      </c>
      <c r="DC40">
        <f t="shared" si="72"/>
        <v>1591555.4107317047</v>
      </c>
      <c r="DD40">
        <f t="shared" si="73"/>
        <v>1101737.1506449077</v>
      </c>
      <c r="DE40">
        <f t="shared" si="74"/>
        <v>1240339.9738413633</v>
      </c>
      <c r="DF40">
        <f t="shared" si="75"/>
        <v>520536.57036034408</v>
      </c>
      <c r="DG40">
        <f t="shared" si="76"/>
        <v>838279.71819340251</v>
      </c>
      <c r="DH40">
        <f t="shared" si="77"/>
        <v>1014295.5370669279</v>
      </c>
      <c r="DI40">
        <f t="shared" si="78"/>
        <v>646145.29861981189</v>
      </c>
    </row>
    <row r="41" spans="1:113" x14ac:dyDescent="0.3">
      <c r="A41" s="1">
        <v>45552</v>
      </c>
      <c r="B41">
        <v>38</v>
      </c>
      <c r="C41">
        <v>1</v>
      </c>
      <c r="D41">
        <v>0.35922330097087302</v>
      </c>
      <c r="E41">
        <v>-0.99270887409805397</v>
      </c>
      <c r="F41">
        <v>-0.12053668025532301</v>
      </c>
      <c r="G41">
        <v>1.0051134655962299</v>
      </c>
      <c r="H41">
        <v>0.99627617883903596</v>
      </c>
      <c r="I41">
        <v>0.82100926933288998</v>
      </c>
      <c r="J41">
        <v>4.1658942188756903E-2</v>
      </c>
      <c r="K41">
        <v>100.58889164945801</v>
      </c>
      <c r="L41">
        <v>0.98933481633628295</v>
      </c>
      <c r="M41">
        <v>2.6062316059563999</v>
      </c>
      <c r="N41">
        <v>3.6061566789096799</v>
      </c>
      <c r="O41">
        <v>5.4138044344430902</v>
      </c>
      <c r="P41">
        <v>3.5567685745445501</v>
      </c>
      <c r="Q41">
        <v>0.32990653321140401</v>
      </c>
      <c r="R41">
        <v>7.1774877175164198</v>
      </c>
      <c r="S41">
        <v>0.96274807920790695</v>
      </c>
      <c r="T41">
        <v>1.30859952276858</v>
      </c>
      <c r="U41">
        <v>20</v>
      </c>
      <c r="V41">
        <v>186</v>
      </c>
      <c r="W41">
        <v>2163</v>
      </c>
      <c r="X41">
        <v>9046.0211903660802</v>
      </c>
      <c r="Y41">
        <f t="shared" si="8"/>
        <v>19566543.834761832</v>
      </c>
      <c r="Z41">
        <f t="shared" si="70"/>
        <v>23.673769629984093</v>
      </c>
      <c r="AA41">
        <f t="shared" si="80"/>
        <v>6.9146011530306328</v>
      </c>
      <c r="AB41">
        <f t="shared" si="81"/>
        <v>7.2247129604684908</v>
      </c>
      <c r="AC41">
        <f t="shared" si="82"/>
        <v>4.5304706229691725</v>
      </c>
      <c r="AD41">
        <f t="shared" si="83"/>
        <v>0.95712083205349874</v>
      </c>
      <c r="AE41">
        <f t="shared" si="84"/>
        <v>8.4181056858003682</v>
      </c>
      <c r="AF41">
        <f t="shared" si="85"/>
        <v>5.478679996166341</v>
      </c>
      <c r="AG41">
        <f t="shared" si="86"/>
        <v>3.2917966815579209</v>
      </c>
      <c r="AH41">
        <f t="shared" si="87"/>
        <v>14.752361412031716</v>
      </c>
      <c r="AI41">
        <f t="shared" si="88"/>
        <v>6.9687240579263854</v>
      </c>
      <c r="AJ41">
        <f t="shared" si="88"/>
        <v>4.6296050148216619</v>
      </c>
      <c r="AK41">
        <f t="shared" si="88"/>
        <v>3.6948385064954095</v>
      </c>
      <c r="AL41">
        <f t="shared" si="88"/>
        <v>2.5944664113759068</v>
      </c>
      <c r="AM41">
        <f t="shared" si="88"/>
        <v>2.3895751703221002</v>
      </c>
      <c r="AN41">
        <f t="shared" si="88"/>
        <v>6.5870344778956778</v>
      </c>
      <c r="AO41">
        <f t="shared" si="88"/>
        <v>3.6424813908642166</v>
      </c>
      <c r="AP41">
        <f t="shared" si="10"/>
        <v>0.68064623100231625</v>
      </c>
      <c r="AQ41">
        <f t="shared" si="11"/>
        <v>0.49727112571352938</v>
      </c>
      <c r="AR41">
        <f t="shared" si="12"/>
        <v>0.64583897664228673</v>
      </c>
      <c r="AS41">
        <f t="shared" si="13"/>
        <v>0.56337264918919527</v>
      </c>
      <c r="AT41">
        <f t="shared" si="14"/>
        <v>0.22330518264693505</v>
      </c>
      <c r="AU41">
        <f t="shared" si="15"/>
        <v>0.86863049677901194</v>
      </c>
      <c r="AV41">
        <f t="shared" si="16"/>
        <v>0.43134674560362679</v>
      </c>
      <c r="AW41">
        <f t="shared" si="17"/>
        <v>0.46588740068477247</v>
      </c>
      <c r="BC41">
        <f t="shared" si="18"/>
        <v>123.93416349258568</v>
      </c>
      <c r="BD41">
        <f t="shared" si="19"/>
        <v>61.875986706248113</v>
      </c>
      <c r="BE41">
        <f t="shared" si="20"/>
        <v>70.474466448226622</v>
      </c>
      <c r="BF41">
        <f t="shared" si="21"/>
        <v>40.716076552791257</v>
      </c>
      <c r="BG41">
        <f t="shared" si="22"/>
        <v>5.2220178229049461</v>
      </c>
      <c r="BH41">
        <f t="shared" si="23"/>
        <v>106.41926204465688</v>
      </c>
      <c r="BI41">
        <f t="shared" si="24"/>
        <v>39.839461917214905</v>
      </c>
      <c r="BJ41">
        <f t="shared" si="25"/>
        <v>46.783899368849298</v>
      </c>
      <c r="BK41">
        <f t="shared" si="26"/>
        <v>3.6185200437411091</v>
      </c>
      <c r="BL41">
        <f t="shared" si="27"/>
        <v>-1.7581753977776522</v>
      </c>
      <c r="BM41">
        <f t="shared" si="28"/>
        <v>15.982114544764233</v>
      </c>
      <c r="BN41">
        <f t="shared" si="29"/>
        <v>0.1258320013315215</v>
      </c>
      <c r="BO41">
        <f t="shared" si="30"/>
        <v>-4.8450993111772602</v>
      </c>
      <c r="BP41">
        <f t="shared" si="31"/>
        <v>3.0364027486243641</v>
      </c>
      <c r="BQ41">
        <f t="shared" si="32"/>
        <v>-12.446793</v>
      </c>
      <c r="BR41">
        <f t="shared" si="33"/>
        <v>45.282743485436797</v>
      </c>
      <c r="BS41">
        <f t="shared" si="34"/>
        <v>9.8262270585606046</v>
      </c>
      <c r="BT41">
        <f t="shared" si="35"/>
        <v>-1.0162279046487521</v>
      </c>
      <c r="BU41">
        <f t="shared" si="36"/>
        <v>206.50836000000001</v>
      </c>
      <c r="BV41">
        <f t="shared" si="37"/>
        <v>-86.608980000000003</v>
      </c>
      <c r="BW41">
        <f t="shared" si="38"/>
        <v>495.26533435347773</v>
      </c>
      <c r="BX41">
        <f t="shared" si="39"/>
        <v>1577.954170345085</v>
      </c>
      <c r="BY41">
        <f t="shared" si="40"/>
        <v>2163</v>
      </c>
      <c r="BZ41">
        <v>2073.2194828746801</v>
      </c>
      <c r="CD41">
        <v>2146.4562091438402</v>
      </c>
      <c r="CG41">
        <f t="shared" si="41"/>
        <v>347.68025804760487</v>
      </c>
      <c r="CH41">
        <f t="shared" si="42"/>
        <v>181.10682524630963</v>
      </c>
      <c r="CI41">
        <f t="shared" si="43"/>
        <v>173.26364303162137</v>
      </c>
      <c r="CJ41">
        <f t="shared" si="44"/>
        <v>167.65877928442308</v>
      </c>
      <c r="CK41">
        <f t="shared" si="45"/>
        <v>33.172956036441533</v>
      </c>
      <c r="CL41">
        <f t="shared" si="46"/>
        <v>156.17850033212403</v>
      </c>
      <c r="CM41">
        <f t="shared" si="47"/>
        <v>98.0187392849042</v>
      </c>
      <c r="CN41">
        <f t="shared" si="48"/>
        <v>66.845477195623673</v>
      </c>
      <c r="CO41">
        <f t="shared" si="49"/>
        <v>593.62257381024369</v>
      </c>
      <c r="CP41">
        <f t="shared" si="50"/>
        <v>412.25907682593606</v>
      </c>
      <c r="CQ41">
        <f t="shared" si="51"/>
        <v>138.59327427740254</v>
      </c>
      <c r="CR41">
        <f t="shared" si="52"/>
        <v>18.279358524288778</v>
      </c>
      <c r="CS41">
        <f t="shared" si="53"/>
        <v>-60.752784429673561</v>
      </c>
      <c r="CT41">
        <f t="shared" si="54"/>
        <v>-4.8869747976845597</v>
      </c>
      <c r="CU41">
        <f t="shared" si="55"/>
        <v>73.717350999999994</v>
      </c>
      <c r="CV41">
        <f t="shared" si="56"/>
        <v>30.229643009708671</v>
      </c>
      <c r="CW41">
        <f t="shared" si="57"/>
        <v>-4.0684183116539785</v>
      </c>
      <c r="CX41">
        <f t="shared" si="58"/>
        <v>-496.66398772899419</v>
      </c>
      <c r="CY41">
        <f t="shared" si="59"/>
        <v>8.1986939999999997</v>
      </c>
      <c r="CZ41">
        <f t="shared" si="60"/>
        <v>8.2447199999999992</v>
      </c>
      <c r="DA41">
        <v>9046.0211903660802</v>
      </c>
      <c r="DB41">
        <f t="shared" si="71"/>
        <v>3145122.9817705806</v>
      </c>
      <c r="DC41">
        <f t="shared" si="72"/>
        <v>1638296.1788980435</v>
      </c>
      <c r="DD41">
        <f t="shared" si="73"/>
        <v>1567346.586384071</v>
      </c>
      <c r="DE41">
        <f t="shared" si="74"/>
        <v>1516644.8701578008</v>
      </c>
      <c r="DF41">
        <f t="shared" si="75"/>
        <v>300083.26325273246</v>
      </c>
      <c r="DG41">
        <f t="shared" si="76"/>
        <v>1412794.02348399</v>
      </c>
      <c r="DH41">
        <f t="shared" si="77"/>
        <v>886679.59262421157</v>
      </c>
      <c r="DI41">
        <f t="shared" si="78"/>
        <v>604685.6031917443</v>
      </c>
    </row>
    <row r="42" spans="1:113" x14ac:dyDescent="0.3">
      <c r="A42" s="1">
        <v>45559</v>
      </c>
      <c r="B42">
        <v>39</v>
      </c>
      <c r="C42">
        <v>1</v>
      </c>
      <c r="D42">
        <v>0.36893203883495101</v>
      </c>
      <c r="E42">
        <v>-1</v>
      </c>
      <c r="F42" s="2">
        <v>-1.8369701987210201E-16</v>
      </c>
      <c r="G42">
        <v>1.00264002194915</v>
      </c>
      <c r="H42">
        <v>0.98988003999684204</v>
      </c>
      <c r="I42">
        <v>0.82437195004069597</v>
      </c>
      <c r="J42">
        <v>1.23152082007916E-2</v>
      </c>
      <c r="K42">
        <v>48.156253725606</v>
      </c>
      <c r="L42">
        <v>0.99061684493148605</v>
      </c>
      <c r="M42">
        <v>0.88418602531010904</v>
      </c>
      <c r="N42">
        <v>1.70953022519413</v>
      </c>
      <c r="O42">
        <v>1.0643860822764299</v>
      </c>
      <c r="P42">
        <v>1.48643466976601</v>
      </c>
      <c r="Q42">
        <v>2.0806045718942201</v>
      </c>
      <c r="R42">
        <v>0.43472192976623297</v>
      </c>
      <c r="S42">
        <v>0.77182577892568704</v>
      </c>
      <c r="T42">
        <v>0.96554004318126996</v>
      </c>
      <c r="U42">
        <v>24</v>
      </c>
      <c r="V42">
        <v>147</v>
      </c>
      <c r="W42">
        <v>1939</v>
      </c>
      <c r="X42">
        <v>9023.7601975424095</v>
      </c>
      <c r="Y42">
        <f t="shared" si="8"/>
        <v>17497071.023034733</v>
      </c>
      <c r="Z42">
        <f t="shared" si="70"/>
        <v>15.088447803300564</v>
      </c>
      <c r="AA42">
        <f t="shared" si="80"/>
        <v>5.1668308017094464</v>
      </c>
      <c r="AB42">
        <f t="shared" si="81"/>
        <v>4.3155069144872513</v>
      </c>
      <c r="AC42">
        <f t="shared" si="82"/>
        <v>2.8455758566567617</v>
      </c>
      <c r="AD42">
        <f t="shared" si="83"/>
        <v>2.4155968631129445</v>
      </c>
      <c r="AE42">
        <f t="shared" si="84"/>
        <v>4.6437747726664167</v>
      </c>
      <c r="AF42">
        <f t="shared" si="85"/>
        <v>4.6069017762421254</v>
      </c>
      <c r="AG42">
        <f t="shared" si="86"/>
        <v>2.7760282180381264</v>
      </c>
      <c r="AH42">
        <f t="shared" si="87"/>
        <v>14.752361412031716</v>
      </c>
      <c r="AI42">
        <f t="shared" si="88"/>
        <v>6.9687240579263854</v>
      </c>
      <c r="AJ42">
        <f t="shared" si="88"/>
        <v>4.6296050148216619</v>
      </c>
      <c r="AK42">
        <f t="shared" si="88"/>
        <v>3.6948385064954095</v>
      </c>
      <c r="AL42">
        <f t="shared" si="88"/>
        <v>2.5944664113759068</v>
      </c>
      <c r="AM42">
        <f t="shared" si="88"/>
        <v>2.3895751703221002</v>
      </c>
      <c r="AN42">
        <f t="shared" si="88"/>
        <v>6.5870344778956778</v>
      </c>
      <c r="AO42">
        <f t="shared" si="88"/>
        <v>3.6424813908642166</v>
      </c>
      <c r="AP42">
        <f t="shared" si="10"/>
        <v>0.50900952039487035</v>
      </c>
      <c r="AQ42">
        <f t="shared" si="11"/>
        <v>0.3967939542334385</v>
      </c>
      <c r="AR42">
        <f t="shared" si="12"/>
        <v>0.47630610327678713</v>
      </c>
      <c r="AS42">
        <f t="shared" si="13"/>
        <v>0.41910117641640815</v>
      </c>
      <c r="AT42">
        <f t="shared" si="14"/>
        <v>0.47769154911197775</v>
      </c>
      <c r="AU42">
        <f t="shared" si="15"/>
        <v>0.73039310792737655</v>
      </c>
      <c r="AV42">
        <f t="shared" si="16"/>
        <v>0.36904370506034295</v>
      </c>
      <c r="AW42">
        <f t="shared" si="17"/>
        <v>0.40933398612868716</v>
      </c>
      <c r="BC42">
        <f t="shared" si="18"/>
        <v>92.682022240839842</v>
      </c>
      <c r="BD42">
        <f t="shared" si="19"/>
        <v>49.373503040295006</v>
      </c>
      <c r="BE42">
        <f t="shared" si="20"/>
        <v>51.974903510751737</v>
      </c>
      <c r="BF42">
        <f t="shared" si="21"/>
        <v>30.289286508484295</v>
      </c>
      <c r="BG42">
        <f t="shared" si="22"/>
        <v>11.170872765894847</v>
      </c>
      <c r="BH42">
        <f t="shared" si="23"/>
        <v>89.483268013682888</v>
      </c>
      <c r="BI42">
        <f t="shared" si="24"/>
        <v>34.085113156388218</v>
      </c>
      <c r="BJ42">
        <f t="shared" si="25"/>
        <v>41.10486780099005</v>
      </c>
      <c r="BK42">
        <f t="shared" si="26"/>
        <v>3.6096153720593764</v>
      </c>
      <c r="BL42">
        <f t="shared" si="27"/>
        <v>-1.746887830944307</v>
      </c>
      <c r="BM42">
        <f t="shared" si="28"/>
        <v>16.047573913199006</v>
      </c>
      <c r="BN42">
        <f t="shared" si="29"/>
        <v>3.7198431196320651E-2</v>
      </c>
      <c r="BO42">
        <f t="shared" si="30"/>
        <v>-4.8806849999999997</v>
      </c>
      <c r="BP42">
        <f t="shared" si="31"/>
        <v>4.6274556000070608E-15</v>
      </c>
      <c r="BQ42">
        <f t="shared" si="32"/>
        <v>-12.446793</v>
      </c>
      <c r="BR42">
        <f t="shared" si="33"/>
        <v>46.506601417475672</v>
      </c>
      <c r="BS42">
        <f t="shared" si="34"/>
        <v>4.7042399576932734</v>
      </c>
      <c r="BT42">
        <f t="shared" si="35"/>
        <v>-1.0175447826272586</v>
      </c>
      <c r="BU42">
        <f t="shared" si="36"/>
        <v>163.20822000000001</v>
      </c>
      <c r="BV42">
        <f t="shared" si="37"/>
        <v>-103.93077599999999</v>
      </c>
      <c r="BW42">
        <f t="shared" si="38"/>
        <v>400.16383703732691</v>
      </c>
      <c r="BX42">
        <f t="shared" si="39"/>
        <v>1510.3400085542821</v>
      </c>
      <c r="BY42">
        <f t="shared" si="40"/>
        <v>1939</v>
      </c>
      <c r="BZ42">
        <v>1910.50383332196</v>
      </c>
      <c r="CD42">
        <v>1914.6845689525001</v>
      </c>
      <c r="CG42">
        <f t="shared" si="41"/>
        <v>260.00667209890696</v>
      </c>
      <c r="CH42">
        <f t="shared" si="42"/>
        <v>144.51290173953561</v>
      </c>
      <c r="CI42">
        <f t="shared" si="43"/>
        <v>127.7818986413406</v>
      </c>
      <c r="CJ42">
        <f t="shared" si="44"/>
        <v>124.72382487109962</v>
      </c>
      <c r="CK42">
        <f t="shared" si="45"/>
        <v>70.963157101131387</v>
      </c>
      <c r="CL42">
        <f t="shared" si="46"/>
        <v>131.32361881376337</v>
      </c>
      <c r="CM42">
        <f t="shared" si="47"/>
        <v>83.861067875738925</v>
      </c>
      <c r="CN42">
        <f t="shared" si="48"/>
        <v>58.731198987011432</v>
      </c>
      <c r="CO42">
        <f t="shared" si="49"/>
        <v>592.16175168994391</v>
      </c>
      <c r="CP42">
        <f t="shared" si="50"/>
        <v>409.61235461141302</v>
      </c>
      <c r="CQ42">
        <f t="shared" si="51"/>
        <v>139.16092308120102</v>
      </c>
      <c r="CR42">
        <f t="shared" si="52"/>
        <v>5.4037403298321331</v>
      </c>
      <c r="CS42">
        <f t="shared" si="53"/>
        <v>-61.198993999999999</v>
      </c>
      <c r="CT42">
        <f t="shared" si="54"/>
        <v>-7.447713879485892E-15</v>
      </c>
      <c r="CU42">
        <f t="shared" si="55"/>
        <v>73.717350999999994</v>
      </c>
      <c r="CV42">
        <f t="shared" si="56"/>
        <v>31.046660388349476</v>
      </c>
      <c r="CW42">
        <f t="shared" si="57"/>
        <v>-1.9477278381858605</v>
      </c>
      <c r="CX42">
        <f t="shared" si="58"/>
        <v>-497.3075892923498</v>
      </c>
      <c r="CY42">
        <f t="shared" si="59"/>
        <v>6.4796129999999996</v>
      </c>
      <c r="CZ42">
        <f t="shared" si="60"/>
        <v>9.8936639999999993</v>
      </c>
      <c r="DA42">
        <v>9023.7601975424095</v>
      </c>
      <c r="DB42">
        <f t="shared" si="71"/>
        <v>2346237.8587815771</v>
      </c>
      <c r="DC42">
        <f t="shared" si="72"/>
        <v>1304049.7707485787</v>
      </c>
      <c r="DD42">
        <f t="shared" si="73"/>
        <v>1153073.2109261279</v>
      </c>
      <c r="DE42">
        <f t="shared" si="74"/>
        <v>1125477.8865570789</v>
      </c>
      <c r="DF42">
        <f t="shared" si="75"/>
        <v>640354.51254113845</v>
      </c>
      <c r="DG42">
        <f t="shared" si="76"/>
        <v>1185032.8444488696</v>
      </c>
      <c r="DH42">
        <f t="shared" si="77"/>
        <v>756742.16642049525</v>
      </c>
      <c r="DI42">
        <f t="shared" si="78"/>
        <v>529976.25577293686</v>
      </c>
    </row>
    <row r="43" spans="1:113" x14ac:dyDescent="0.3">
      <c r="A43" s="1">
        <v>45566</v>
      </c>
      <c r="B43">
        <v>40</v>
      </c>
      <c r="C43">
        <v>1</v>
      </c>
      <c r="D43">
        <v>0.37864077669902901</v>
      </c>
      <c r="E43">
        <v>-0.99270887409805397</v>
      </c>
      <c r="F43">
        <v>0.12053668025532301</v>
      </c>
      <c r="G43">
        <v>1.00459180031263</v>
      </c>
      <c r="H43">
        <v>0.99068317438387299</v>
      </c>
      <c r="I43">
        <v>0.85516525178806702</v>
      </c>
      <c r="J43">
        <v>2.2163412340701499E-2</v>
      </c>
      <c r="K43">
        <v>72.636628534767098</v>
      </c>
      <c r="L43">
        <v>0.98941652738658403</v>
      </c>
      <c r="M43">
        <v>8.1340901682361793</v>
      </c>
      <c r="N43">
        <v>0.58078351181495502</v>
      </c>
      <c r="O43">
        <v>7.6333171276723997</v>
      </c>
      <c r="P43">
        <v>1.8716937973963299</v>
      </c>
      <c r="Q43">
        <v>0.84689806659787903</v>
      </c>
      <c r="R43">
        <v>0.13398933595134299</v>
      </c>
      <c r="S43">
        <v>1.8092663422441599</v>
      </c>
      <c r="T43">
        <v>1.1511499044006701</v>
      </c>
      <c r="U43">
        <v>26</v>
      </c>
      <c r="V43">
        <v>166</v>
      </c>
      <c r="W43">
        <v>1911</v>
      </c>
      <c r="X43">
        <v>9041.3262028136796</v>
      </c>
      <c r="Y43">
        <f t="shared" si="8"/>
        <v>17277974.373576943</v>
      </c>
      <c r="Z43">
        <f t="shared" si="70"/>
        <v>17.18715885021652</v>
      </c>
      <c r="AA43">
        <f t="shared" si="80"/>
        <v>3.1641989126696783</v>
      </c>
      <c r="AB43">
        <f t="shared" si="81"/>
        <v>9.5752952391916626</v>
      </c>
      <c r="AC43">
        <f t="shared" si="82"/>
        <v>2.7253665543933585</v>
      </c>
      <c r="AD43">
        <f t="shared" si="83"/>
        <v>1.6923569686874096</v>
      </c>
      <c r="AE43">
        <f t="shared" si="84"/>
        <v>2.4558767222845512</v>
      </c>
      <c r="AF43">
        <f t="shared" si="85"/>
        <v>5.0340975856136474</v>
      </c>
      <c r="AG43">
        <f t="shared" si="86"/>
        <v>2.6779654243216395</v>
      </c>
      <c r="AH43">
        <f t="shared" si="87"/>
        <v>14.752361412031716</v>
      </c>
      <c r="AI43">
        <f t="shared" si="88"/>
        <v>6.9687240579263854</v>
      </c>
      <c r="AJ43">
        <f t="shared" si="88"/>
        <v>4.6296050148216619</v>
      </c>
      <c r="AK43">
        <f t="shared" si="88"/>
        <v>3.6948385064954095</v>
      </c>
      <c r="AL43">
        <f t="shared" si="88"/>
        <v>2.5944664113759068</v>
      </c>
      <c r="AM43">
        <f t="shared" si="88"/>
        <v>2.3895751703221002</v>
      </c>
      <c r="AN43">
        <f t="shared" si="88"/>
        <v>6.5870344778956778</v>
      </c>
      <c r="AO43">
        <f t="shared" si="88"/>
        <v>3.6424813908642166</v>
      </c>
      <c r="AP43">
        <f t="shared" si="10"/>
        <v>0.56080136249421275</v>
      </c>
      <c r="AQ43">
        <f t="shared" si="11"/>
        <v>0.24873971966129024</v>
      </c>
      <c r="AR43">
        <f t="shared" si="12"/>
        <v>0.72731948441258087</v>
      </c>
      <c r="AS43">
        <f t="shared" si="13"/>
        <v>0.40602623130308729</v>
      </c>
      <c r="AT43">
        <f t="shared" si="14"/>
        <v>0.36956735167597721</v>
      </c>
      <c r="AU43">
        <f t="shared" si="15"/>
        <v>0.51026164039994659</v>
      </c>
      <c r="AV43">
        <f t="shared" si="16"/>
        <v>0.40051891157705416</v>
      </c>
      <c r="AW43">
        <f t="shared" si="17"/>
        <v>0.39764901828608118</v>
      </c>
      <c r="BC43">
        <f t="shared" si="18"/>
        <v>102.11244047274546</v>
      </c>
      <c r="BD43">
        <f t="shared" si="19"/>
        <v>30.950953697529616</v>
      </c>
      <c r="BE43">
        <f t="shared" si="20"/>
        <v>79.365684722007842</v>
      </c>
      <c r="BF43">
        <f t="shared" si="21"/>
        <v>29.344333879130193</v>
      </c>
      <c r="BG43">
        <f t="shared" si="22"/>
        <v>8.6423757583228742</v>
      </c>
      <c r="BH43">
        <f t="shared" si="23"/>
        <v>62.514115521404797</v>
      </c>
      <c r="BI43">
        <f t="shared" si="24"/>
        <v>36.992183405879047</v>
      </c>
      <c r="BJ43">
        <f t="shared" si="25"/>
        <v>39.931476207070119</v>
      </c>
      <c r="BK43">
        <f t="shared" si="26"/>
        <v>3.6166419908153027</v>
      </c>
      <c r="BL43">
        <f t="shared" si="27"/>
        <v>-1.7483051599444168</v>
      </c>
      <c r="BM43">
        <f t="shared" si="28"/>
        <v>16.64700938137327</v>
      </c>
      <c r="BN43">
        <f t="shared" si="29"/>
        <v>6.694520755063442E-2</v>
      </c>
      <c r="BO43">
        <f t="shared" si="30"/>
        <v>-4.8450993111772602</v>
      </c>
      <c r="BP43">
        <f t="shared" si="31"/>
        <v>-3.0364027486243641</v>
      </c>
      <c r="BQ43">
        <f t="shared" si="32"/>
        <v>-12.446793</v>
      </c>
      <c r="BR43">
        <f t="shared" si="33"/>
        <v>47.730459349514547</v>
      </c>
      <c r="BS43">
        <f t="shared" si="34"/>
        <v>7.0956543316757932</v>
      </c>
      <c r="BT43">
        <f t="shared" si="35"/>
        <v>-1.0163118368505335</v>
      </c>
      <c r="BU43">
        <f t="shared" si="36"/>
        <v>184.30315999999999</v>
      </c>
      <c r="BV43">
        <f t="shared" si="37"/>
        <v>-112.591674</v>
      </c>
      <c r="BW43">
        <f t="shared" si="38"/>
        <v>389.85356366408996</v>
      </c>
      <c r="BX43">
        <f t="shared" si="39"/>
        <v>1524.0245302805631</v>
      </c>
      <c r="BY43">
        <f t="shared" si="40"/>
        <v>1911</v>
      </c>
      <c r="BZ43">
        <v>1913.87807674941</v>
      </c>
      <c r="CD43">
        <v>1918.93206481315</v>
      </c>
      <c r="CG43">
        <f t="shared" si="41"/>
        <v>286.46241401838125</v>
      </c>
      <c r="CH43">
        <f t="shared" si="42"/>
        <v>90.591346674057846</v>
      </c>
      <c r="CI43">
        <f t="shared" si="43"/>
        <v>195.12297658523386</v>
      </c>
      <c r="CJ43">
        <f t="shared" si="44"/>
        <v>120.8327425829106</v>
      </c>
      <c r="CK43">
        <f t="shared" si="45"/>
        <v>54.900837339878855</v>
      </c>
      <c r="CL43">
        <f t="shared" si="46"/>
        <v>91.744301023485249</v>
      </c>
      <c r="CM43">
        <f t="shared" si="47"/>
        <v>91.0134576710593</v>
      </c>
      <c r="CN43">
        <f t="shared" si="48"/>
        <v>57.054640981136075</v>
      </c>
      <c r="CO43">
        <f t="shared" si="49"/>
        <v>593.31447696454643</v>
      </c>
      <c r="CP43">
        <f t="shared" si="50"/>
        <v>409.94469161594765</v>
      </c>
      <c r="CQ43">
        <f t="shared" si="51"/>
        <v>144.35909157258476</v>
      </c>
      <c r="CR43">
        <f t="shared" si="52"/>
        <v>9.7249939391564304</v>
      </c>
      <c r="CS43">
        <f t="shared" si="53"/>
        <v>-60.752784429673561</v>
      </c>
      <c r="CT43">
        <f t="shared" si="54"/>
        <v>4.8869747976845597</v>
      </c>
      <c r="CU43">
        <f t="shared" si="55"/>
        <v>73.717350999999994</v>
      </c>
      <c r="CV43">
        <f t="shared" si="56"/>
        <v>31.863677766990282</v>
      </c>
      <c r="CW43">
        <f t="shared" si="57"/>
        <v>-2.9378610777171903</v>
      </c>
      <c r="CX43">
        <f t="shared" si="58"/>
        <v>-496.70500815546046</v>
      </c>
      <c r="CY43">
        <f t="shared" si="59"/>
        <v>7.3171140000000001</v>
      </c>
      <c r="CZ43">
        <f t="shared" si="60"/>
        <v>10.718135999999999</v>
      </c>
      <c r="DA43">
        <v>9041.3262028136796</v>
      </c>
      <c r="DB43">
        <f t="shared" si="71"/>
        <v>2590000.129985651</v>
      </c>
      <c r="DC43">
        <f t="shared" si="72"/>
        <v>819065.91643233714</v>
      </c>
      <c r="DD43">
        <f t="shared" si="73"/>
        <v>1764170.4809710749</v>
      </c>
      <c r="DE43">
        <f t="shared" si="74"/>
        <v>1092488.2416727098</v>
      </c>
      <c r="DF43">
        <f t="shared" si="75"/>
        <v>496376.37919745839</v>
      </c>
      <c r="DG43">
        <f t="shared" si="76"/>
        <v>829490.15280246304</v>
      </c>
      <c r="DH43">
        <f t="shared" si="77"/>
        <v>822882.35965002212</v>
      </c>
      <c r="DI43">
        <f t="shared" si="78"/>
        <v>515849.6204948728</v>
      </c>
    </row>
    <row r="44" spans="1:113" x14ac:dyDescent="0.3">
      <c r="A44" s="1">
        <v>45573</v>
      </c>
      <c r="B44">
        <v>41</v>
      </c>
      <c r="C44">
        <v>0</v>
      </c>
      <c r="D44">
        <v>0.38834951456310601</v>
      </c>
      <c r="E44">
        <v>-0.97094181742605201</v>
      </c>
      <c r="F44">
        <v>0.23931566428755699</v>
      </c>
      <c r="G44">
        <v>1.00682156282624</v>
      </c>
      <c r="H44">
        <v>0.98824435109794195</v>
      </c>
      <c r="I44">
        <v>0.86730309887686996</v>
      </c>
      <c r="J44">
        <v>4.9174867254883299E-2</v>
      </c>
      <c r="K44">
        <v>2.6058135376173701</v>
      </c>
      <c r="L44">
        <v>0.99036581425849501</v>
      </c>
      <c r="M44">
        <v>0.85465158217216797</v>
      </c>
      <c r="N44">
        <v>2.2762583179162301</v>
      </c>
      <c r="O44">
        <v>1.4045086569809999</v>
      </c>
      <c r="P44">
        <v>1.3853269235601899</v>
      </c>
      <c r="Q44">
        <v>0.65435930295726097</v>
      </c>
      <c r="R44">
        <v>0.60023192985427198</v>
      </c>
      <c r="S44">
        <v>2.13081579471188</v>
      </c>
      <c r="T44">
        <v>0.28055818669611299</v>
      </c>
      <c r="U44">
        <v>12</v>
      </c>
      <c r="V44">
        <v>93</v>
      </c>
      <c r="W44">
        <v>1693</v>
      </c>
      <c r="X44">
        <v>9061.3940654361704</v>
      </c>
      <c r="Y44">
        <f t="shared" si="8"/>
        <v>15340940.152783437</v>
      </c>
      <c r="Z44">
        <f t="shared" si="70"/>
        <v>11.16694689230208</v>
      </c>
      <c r="AA44">
        <f t="shared" si="80"/>
        <v>3.8583577742510693</v>
      </c>
      <c r="AB44">
        <f t="shared" si="81"/>
        <v>5.713391514617248</v>
      </c>
      <c r="AC44">
        <f t="shared" si="82"/>
        <v>2.2029368898781976</v>
      </c>
      <c r="AD44">
        <f t="shared" si="83"/>
        <v>1.2466842419978543</v>
      </c>
      <c r="AE44">
        <f t="shared" si="84"/>
        <v>1.8281702909965476</v>
      </c>
      <c r="AF44">
        <f t="shared" si="85"/>
        <v>5.6546841046414329</v>
      </c>
      <c r="AG44">
        <f t="shared" si="86"/>
        <v>1.753439170073015</v>
      </c>
      <c r="AH44">
        <f t="shared" si="87"/>
        <v>14.752361412031716</v>
      </c>
      <c r="AI44">
        <f t="shared" si="88"/>
        <v>6.9687240579263854</v>
      </c>
      <c r="AJ44">
        <f t="shared" si="88"/>
        <v>4.6296050148216619</v>
      </c>
      <c r="AK44">
        <f t="shared" si="88"/>
        <v>3.6948385064954095</v>
      </c>
      <c r="AL44">
        <f t="shared" si="88"/>
        <v>2.5944664113759068</v>
      </c>
      <c r="AM44">
        <f t="shared" si="88"/>
        <v>2.3895751703221002</v>
      </c>
      <c r="AN44">
        <f t="shared" si="88"/>
        <v>6.5870344778956778</v>
      </c>
      <c r="AO44">
        <f t="shared" si="88"/>
        <v>3.6424813908642166</v>
      </c>
      <c r="AP44">
        <f t="shared" si="10"/>
        <v>0.39042838665593788</v>
      </c>
      <c r="AQ44">
        <f t="shared" si="11"/>
        <v>0.30413866006067142</v>
      </c>
      <c r="AR44">
        <f t="shared" si="12"/>
        <v>0.57051697170517379</v>
      </c>
      <c r="AS44">
        <f t="shared" si="13"/>
        <v>0.34379407646849774</v>
      </c>
      <c r="AT44">
        <f t="shared" si="14"/>
        <v>0.2857497799867772</v>
      </c>
      <c r="AU44">
        <f t="shared" si="15"/>
        <v>0.4009039755176283</v>
      </c>
      <c r="AV44">
        <f t="shared" si="16"/>
        <v>0.44301652601491359</v>
      </c>
      <c r="AW44">
        <f t="shared" si="17"/>
        <v>0.2715117324793872</v>
      </c>
      <c r="BC44">
        <f t="shared" si="18"/>
        <v>71.090403942600844</v>
      </c>
      <c r="BD44">
        <f t="shared" si="19"/>
        <v>37.84430407007283</v>
      </c>
      <c r="BE44">
        <f t="shared" si="20"/>
        <v>62.255268936562899</v>
      </c>
      <c r="BF44">
        <f t="shared" si="21"/>
        <v>24.846690651442415</v>
      </c>
      <c r="BG44">
        <f t="shared" si="22"/>
        <v>6.6822920377150439</v>
      </c>
      <c r="BH44">
        <f t="shared" si="23"/>
        <v>49.116287516450512</v>
      </c>
      <c r="BI44">
        <f t="shared" si="24"/>
        <v>40.917290316330593</v>
      </c>
      <c r="BJ44">
        <f t="shared" si="25"/>
        <v>27.264908969650872</v>
      </c>
      <c r="BK44">
        <f t="shared" si="26"/>
        <v>3.6246693833679378</v>
      </c>
      <c r="BL44">
        <f t="shared" si="27"/>
        <v>-1.7440012538670397</v>
      </c>
      <c r="BM44">
        <f t="shared" si="28"/>
        <v>16.883289859251075</v>
      </c>
      <c r="BN44">
        <f t="shared" si="29"/>
        <v>0.14853406343965814</v>
      </c>
      <c r="BO44">
        <f t="shared" si="30"/>
        <v>-4.7388611641840708</v>
      </c>
      <c r="BP44">
        <f t="shared" si="31"/>
        <v>-6.0285279077902407</v>
      </c>
      <c r="BQ44">
        <f t="shared" si="32"/>
        <v>0</v>
      </c>
      <c r="BR44">
        <f t="shared" si="33"/>
        <v>48.954317281553301</v>
      </c>
      <c r="BS44">
        <f t="shared" si="34"/>
        <v>0.25455410704922804</v>
      </c>
      <c r="BT44">
        <f t="shared" si="35"/>
        <v>-1.0172869281874837</v>
      </c>
      <c r="BU44">
        <f t="shared" si="36"/>
        <v>103.25418000000001</v>
      </c>
      <c r="BV44">
        <f t="shared" si="37"/>
        <v>-51.965387999999997</v>
      </c>
      <c r="BW44">
        <f t="shared" si="38"/>
        <v>320.01744644082606</v>
      </c>
      <c r="BX44">
        <f t="shared" si="39"/>
        <v>1507.8747255168623</v>
      </c>
      <c r="BY44">
        <f t="shared" si="40"/>
        <v>1693</v>
      </c>
      <c r="BZ44">
        <v>1827.89217032529</v>
      </c>
      <c r="CD44">
        <v>1691.7620645167799</v>
      </c>
      <c r="CG44">
        <f t="shared" si="41"/>
        <v>199.43435523289423</v>
      </c>
      <c r="CH44">
        <f t="shared" si="42"/>
        <v>110.76771666406081</v>
      </c>
      <c r="CI44">
        <f t="shared" si="43"/>
        <v>153.05649318801829</v>
      </c>
      <c r="CJ44">
        <f t="shared" si="44"/>
        <v>102.3125550537099</v>
      </c>
      <c r="CK44">
        <f t="shared" si="45"/>
        <v>42.449372542828918</v>
      </c>
      <c r="CL44">
        <f t="shared" si="46"/>
        <v>72.081951883689158</v>
      </c>
      <c r="CM44">
        <f t="shared" si="47"/>
        <v>100.6705667886571</v>
      </c>
      <c r="CN44">
        <f t="shared" si="48"/>
        <v>38.956475953457492</v>
      </c>
      <c r="CO44">
        <f t="shared" si="49"/>
        <v>594.63138038651937</v>
      </c>
      <c r="CP44">
        <f t="shared" si="50"/>
        <v>408.93550655486229</v>
      </c>
      <c r="CQ44">
        <f t="shared" si="51"/>
        <v>146.4080623132958</v>
      </c>
      <c r="CR44">
        <f t="shared" si="52"/>
        <v>21.57724084455786</v>
      </c>
      <c r="CS44">
        <f t="shared" si="53"/>
        <v>-59.420662459006053</v>
      </c>
      <c r="CT44">
        <f t="shared" si="54"/>
        <v>9.7026864983099816</v>
      </c>
      <c r="CU44">
        <f t="shared" si="55"/>
        <v>0</v>
      </c>
      <c r="CV44">
        <f t="shared" si="56"/>
        <v>32.680695145630999</v>
      </c>
      <c r="CW44">
        <f t="shared" si="57"/>
        <v>-0.10539473434247217</v>
      </c>
      <c r="CX44">
        <f t="shared" si="58"/>
        <v>-497.18156735010001</v>
      </c>
      <c r="CY44">
        <f t="shared" si="59"/>
        <v>4.0993469999999999</v>
      </c>
      <c r="CZ44">
        <f t="shared" si="60"/>
        <v>4.9468319999999997</v>
      </c>
      <c r="DA44">
        <v>9061.3940654361704</v>
      </c>
      <c r="DB44">
        <f t="shared" si="71"/>
        <v>1807153.2829514369</v>
      </c>
      <c r="DC44">
        <f t="shared" si="72"/>
        <v>1003709.9304216359</v>
      </c>
      <c r="DD44">
        <f t="shared" si="73"/>
        <v>1386905.1990503806</v>
      </c>
      <c r="DE44">
        <f t="shared" si="74"/>
        <v>927094.37918329833</v>
      </c>
      <c r="DF44">
        <f t="shared" si="75"/>
        <v>384650.49244107906</v>
      </c>
      <c r="DG44">
        <f t="shared" si="76"/>
        <v>653162.9710239165</v>
      </c>
      <c r="DH44">
        <f t="shared" si="77"/>
        <v>912215.67646283307</v>
      </c>
      <c r="DI44">
        <f t="shared" si="78"/>
        <v>352999.98001496657</v>
      </c>
    </row>
    <row r="45" spans="1:113" x14ac:dyDescent="0.3">
      <c r="A45" s="1">
        <v>45580</v>
      </c>
      <c r="B45">
        <v>42</v>
      </c>
      <c r="C45">
        <v>0</v>
      </c>
      <c r="D45">
        <v>0.39805825242718401</v>
      </c>
      <c r="E45">
        <v>-0.93501624268541395</v>
      </c>
      <c r="F45">
        <v>0.35460488704253501</v>
      </c>
      <c r="G45">
        <v>1.0084510256311501</v>
      </c>
      <c r="H45">
        <v>0.98699827931740303</v>
      </c>
      <c r="I45">
        <v>0.82799307157582402</v>
      </c>
      <c r="J45">
        <v>4.0719768542177799E-2</v>
      </c>
      <c r="K45">
        <v>9.81567409678674</v>
      </c>
      <c r="L45">
        <v>0.99034985624356697</v>
      </c>
      <c r="M45">
        <v>7.0496968822601298</v>
      </c>
      <c r="N45">
        <v>2.1697492015004598</v>
      </c>
      <c r="O45">
        <v>1.6564427185478099</v>
      </c>
      <c r="P45">
        <v>1.74949303560536</v>
      </c>
      <c r="Q45">
        <v>2.2255924484157998</v>
      </c>
      <c r="R45">
        <v>2.4069688096509401</v>
      </c>
      <c r="S45">
        <v>1.11028235300624</v>
      </c>
      <c r="T45">
        <v>3.5849578244389102</v>
      </c>
      <c r="U45">
        <v>12</v>
      </c>
      <c r="V45">
        <v>147</v>
      </c>
      <c r="W45">
        <v>1829</v>
      </c>
      <c r="X45">
        <v>9076.0592306804101</v>
      </c>
      <c r="Y45">
        <f t="shared" si="8"/>
        <v>16600112.33291447</v>
      </c>
      <c r="Z45">
        <f t="shared" si="70"/>
        <v>13.749865017641378</v>
      </c>
      <c r="AA45">
        <f t="shared" si="80"/>
        <v>4.0989280886259944</v>
      </c>
      <c r="AB45">
        <f t="shared" si="81"/>
        <v>4.2274689001255714</v>
      </c>
      <c r="AC45">
        <f t="shared" si="82"/>
        <v>2.4103741025688192</v>
      </c>
      <c r="AD45">
        <f t="shared" si="83"/>
        <v>2.6619319331150488</v>
      </c>
      <c r="AE45">
        <f t="shared" si="84"/>
        <v>3.321053955149214</v>
      </c>
      <c r="AF45">
        <f t="shared" si="85"/>
        <v>5.0685612262552429</v>
      </c>
      <c r="AG45">
        <f t="shared" si="86"/>
        <v>4.5493493679790689</v>
      </c>
      <c r="AH45">
        <f t="shared" si="87"/>
        <v>14.752361412031716</v>
      </c>
      <c r="AI45">
        <f t="shared" si="88"/>
        <v>6.9687240579263854</v>
      </c>
      <c r="AJ45">
        <f t="shared" si="88"/>
        <v>4.6296050148216619</v>
      </c>
      <c r="AK45">
        <f t="shared" si="88"/>
        <v>3.6948385064954095</v>
      </c>
      <c r="AL45">
        <f t="shared" si="88"/>
        <v>2.5944664113759068</v>
      </c>
      <c r="AM45">
        <f t="shared" si="88"/>
        <v>2.3895751703221002</v>
      </c>
      <c r="AN45">
        <f t="shared" si="88"/>
        <v>6.5870344778956778</v>
      </c>
      <c r="AO45">
        <f t="shared" si="88"/>
        <v>3.6424813908642166</v>
      </c>
      <c r="AP45">
        <f t="shared" si="10"/>
        <v>0.47188004011714796</v>
      </c>
      <c r="AQ45">
        <f t="shared" si="11"/>
        <v>0.32235081065357218</v>
      </c>
      <c r="AR45">
        <f t="shared" si="12"/>
        <v>0.46937041402479912</v>
      </c>
      <c r="AS45">
        <f t="shared" si="13"/>
        <v>0.36959757575978125</v>
      </c>
      <c r="AT45">
        <f t="shared" si="14"/>
        <v>0.50802158548704512</v>
      </c>
      <c r="AU45">
        <f t="shared" si="15"/>
        <v>0.62098941133364549</v>
      </c>
      <c r="AV45">
        <f t="shared" si="16"/>
        <v>0.4029786306309559</v>
      </c>
      <c r="AW45">
        <f t="shared" si="17"/>
        <v>0.57447448022743042</v>
      </c>
      <c r="BC45">
        <f t="shared" si="18"/>
        <v>85.921372038813942</v>
      </c>
      <c r="BD45">
        <f t="shared" si="19"/>
        <v>40.110461764955168</v>
      </c>
      <c r="BE45">
        <f t="shared" si="20"/>
        <v>51.218075544087711</v>
      </c>
      <c r="BF45">
        <f t="shared" si="21"/>
        <v>26.711561539274545</v>
      </c>
      <c r="BG45">
        <f t="shared" si="22"/>
        <v>11.880144215140053</v>
      </c>
      <c r="BH45">
        <f t="shared" si="23"/>
        <v>76.079800486771489</v>
      </c>
      <c r="BI45">
        <f t="shared" si="24"/>
        <v>37.219364634377321</v>
      </c>
      <c r="BJ45">
        <f t="shared" si="25"/>
        <v>57.688094233561351</v>
      </c>
      <c r="BK45">
        <f t="shared" si="26"/>
        <v>3.6305356303359853</v>
      </c>
      <c r="BL45">
        <f t="shared" si="27"/>
        <v>-1.7418022524305492</v>
      </c>
      <c r="BM45">
        <f t="shared" si="28"/>
        <v>16.118064200357338</v>
      </c>
      <c r="BN45">
        <f t="shared" si="29"/>
        <v>0.12299520103516723</v>
      </c>
      <c r="BO45">
        <f t="shared" si="30"/>
        <v>-4.563519750431059</v>
      </c>
      <c r="BP45">
        <f t="shared" si="31"/>
        <v>-8.9327435549979519</v>
      </c>
      <c r="BQ45">
        <f t="shared" si="32"/>
        <v>0</v>
      </c>
      <c r="BR45">
        <f t="shared" si="33"/>
        <v>50.178175213592176</v>
      </c>
      <c r="BS45">
        <f t="shared" si="34"/>
        <v>0.95886375549280622</v>
      </c>
      <c r="BT45">
        <f t="shared" si="35"/>
        <v>-1.0172705363858359</v>
      </c>
      <c r="BU45">
        <f t="shared" si="36"/>
        <v>163.20822000000001</v>
      </c>
      <c r="BV45">
        <f t="shared" si="37"/>
        <v>-51.965387999999997</v>
      </c>
      <c r="BW45">
        <f t="shared" si="38"/>
        <v>386.82887445698157</v>
      </c>
      <c r="BX45">
        <f t="shared" si="39"/>
        <v>1566.2453759827981</v>
      </c>
      <c r="BY45">
        <f t="shared" si="40"/>
        <v>1829</v>
      </c>
      <c r="BZ45">
        <v>1953.0742480782501</v>
      </c>
      <c r="CD45">
        <v>1827.3938185657701</v>
      </c>
      <c r="CG45">
        <f t="shared" si="41"/>
        <v>241.04059736560245</v>
      </c>
      <c r="CH45">
        <f t="shared" si="42"/>
        <v>117.40060686064159</v>
      </c>
      <c r="CI45">
        <f t="shared" si="43"/>
        <v>125.92121381091685</v>
      </c>
      <c r="CJ45">
        <f t="shared" si="44"/>
        <v>109.99163425407453</v>
      </c>
      <c r="CK45">
        <f t="shared" si="45"/>
        <v>75.468815909975831</v>
      </c>
      <c r="CL45">
        <f t="shared" si="46"/>
        <v>111.65299323918538</v>
      </c>
      <c r="CM45">
        <f t="shared" si="47"/>
        <v>91.572401405110455</v>
      </c>
      <c r="CN45">
        <f t="shared" si="48"/>
        <v>82.425540401109203</v>
      </c>
      <c r="CO45">
        <f t="shared" si="49"/>
        <v>595.59374527097054</v>
      </c>
      <c r="CP45">
        <f t="shared" si="50"/>
        <v>408.4198820595517</v>
      </c>
      <c r="CQ45">
        <f t="shared" si="51"/>
        <v>139.77219887168948</v>
      </c>
      <c r="CR45">
        <f t="shared" si="52"/>
        <v>17.867262323559601</v>
      </c>
      <c r="CS45">
        <f t="shared" si="53"/>
        <v>-57.222053426007193</v>
      </c>
      <c r="CT45">
        <f t="shared" si="54"/>
        <v>14.376911181242859</v>
      </c>
      <c r="CU45">
        <f t="shared" si="55"/>
        <v>0</v>
      </c>
      <c r="CV45">
        <f t="shared" si="56"/>
        <v>33.497712524271805</v>
      </c>
      <c r="CW45">
        <f t="shared" si="57"/>
        <v>-0.39700475451863654</v>
      </c>
      <c r="CX45">
        <f t="shared" si="58"/>
        <v>-497.17355613771821</v>
      </c>
      <c r="CY45">
        <f t="shared" si="59"/>
        <v>6.4796129999999996</v>
      </c>
      <c r="CZ45">
        <f t="shared" si="60"/>
        <v>4.9468319999999997</v>
      </c>
      <c r="DA45">
        <v>9076.0592306804101</v>
      </c>
      <c r="DB45">
        <f t="shared" si="71"/>
        <v>2187698.7386887963</v>
      </c>
      <c r="DC45">
        <f t="shared" si="72"/>
        <v>1065534.861585008</v>
      </c>
      <c r="DD45">
        <f t="shared" si="73"/>
        <v>1142868.3949470534</v>
      </c>
      <c r="DE45">
        <f t="shared" si="74"/>
        <v>998290.58736931672</v>
      </c>
      <c r="DF45">
        <f t="shared" si="75"/>
        <v>684959.44326825673</v>
      </c>
      <c r="DG45">
        <f t="shared" si="76"/>
        <v>1013369.1799216059</v>
      </c>
      <c r="DH45">
        <f t="shared" si="77"/>
        <v>831116.53904842446</v>
      </c>
      <c r="DI45">
        <f t="shared" si="78"/>
        <v>748099.08680130821</v>
      </c>
    </row>
    <row r="46" spans="1:113" x14ac:dyDescent="0.3">
      <c r="A46" s="1">
        <v>45587</v>
      </c>
      <c r="B46">
        <v>43</v>
      </c>
      <c r="C46">
        <v>0</v>
      </c>
      <c r="D46">
        <v>0.40776699029126201</v>
      </c>
      <c r="E46">
        <v>-0.88545602565321002</v>
      </c>
      <c r="F46">
        <v>0.46472317204376801</v>
      </c>
      <c r="G46">
        <v>1.0064544965092901</v>
      </c>
      <c r="H46">
        <v>0.985161988920224</v>
      </c>
      <c r="I46">
        <v>0.83748255897580903</v>
      </c>
      <c r="J46">
        <v>0.11833336112614801</v>
      </c>
      <c r="K46">
        <v>5.1319617114874001</v>
      </c>
      <c r="L46">
        <v>0.988285274994951</v>
      </c>
      <c r="M46">
        <v>1.57143418536829</v>
      </c>
      <c r="N46">
        <v>1.6416961723594601</v>
      </c>
      <c r="O46">
        <v>2.16660859894133</v>
      </c>
      <c r="P46">
        <v>1.6968103395129901</v>
      </c>
      <c r="Q46">
        <v>7.9739771472056002</v>
      </c>
      <c r="R46">
        <v>0.84921474843432698</v>
      </c>
      <c r="S46">
        <v>1.2943158934864301</v>
      </c>
      <c r="T46">
        <v>0.95299073512906995</v>
      </c>
      <c r="U46">
        <v>8</v>
      </c>
      <c r="V46">
        <v>165</v>
      </c>
      <c r="W46">
        <v>1804</v>
      </c>
      <c r="X46">
        <v>9058.0904685836194</v>
      </c>
      <c r="Y46">
        <f t="shared" si="8"/>
        <v>16340795.205324849</v>
      </c>
      <c r="Z46">
        <f t="shared" si="70"/>
        <v>9.8213531959531153</v>
      </c>
      <c r="AA46">
        <f t="shared" si="80"/>
        <v>3.6911602166724573</v>
      </c>
      <c r="AB46">
        <f t="shared" si="81"/>
        <v>4.0689696039978376</v>
      </c>
      <c r="AC46">
        <f t="shared" si="82"/>
        <v>2.419922570283636</v>
      </c>
      <c r="AD46">
        <f t="shared" si="83"/>
        <v>8.9056533237958675</v>
      </c>
      <c r="AE46">
        <f t="shared" si="84"/>
        <v>2.5097417260089339</v>
      </c>
      <c r="AF46">
        <f t="shared" si="85"/>
        <v>4.8423087518651</v>
      </c>
      <c r="AG46">
        <f t="shared" si="86"/>
        <v>3.455132887517558</v>
      </c>
      <c r="AH46">
        <f t="shared" si="87"/>
        <v>14.752361412031716</v>
      </c>
      <c r="AI46">
        <f t="shared" si="88"/>
        <v>6.9687240579263854</v>
      </c>
      <c r="AJ46">
        <f t="shared" si="88"/>
        <v>4.6296050148216619</v>
      </c>
      <c r="AK46">
        <f t="shared" si="88"/>
        <v>3.6948385064954095</v>
      </c>
      <c r="AL46">
        <f t="shared" si="88"/>
        <v>2.5944664113759068</v>
      </c>
      <c r="AM46">
        <f t="shared" si="88"/>
        <v>2.3895751703221002</v>
      </c>
      <c r="AN46">
        <f t="shared" si="88"/>
        <v>6.5870344778956778</v>
      </c>
      <c r="AO46">
        <f t="shared" si="88"/>
        <v>3.6424813908642166</v>
      </c>
      <c r="AP46">
        <f t="shared" si="10"/>
        <v>0.34277530769502862</v>
      </c>
      <c r="AQ46">
        <f t="shared" si="11"/>
        <v>0.29117425014072401</v>
      </c>
      <c r="AR46">
        <f t="shared" si="12"/>
        <v>0.45654481764776594</v>
      </c>
      <c r="AS46">
        <f t="shared" si="13"/>
        <v>0.37074977219217065</v>
      </c>
      <c r="AT46">
        <f t="shared" si="14"/>
        <v>0.82370180961482231</v>
      </c>
      <c r="AU46">
        <f t="shared" si="15"/>
        <v>0.51839079448055103</v>
      </c>
      <c r="AV46">
        <f t="shared" si="16"/>
        <v>0.38661405110428276</v>
      </c>
      <c r="AW46">
        <f t="shared" si="17"/>
        <v>0.48218611495396774</v>
      </c>
      <c r="BC46">
        <f t="shared" si="18"/>
        <v>62.413584458609122</v>
      </c>
      <c r="BD46">
        <f t="shared" si="19"/>
        <v>36.23112845142019</v>
      </c>
      <c r="BE46">
        <f t="shared" si="20"/>
        <v>49.818536194123155</v>
      </c>
      <c r="BF46">
        <f t="shared" si="21"/>
        <v>26.794833097119138</v>
      </c>
      <c r="BG46">
        <f t="shared" si="22"/>
        <v>19.262363190954346</v>
      </c>
      <c r="BH46">
        <f t="shared" si="23"/>
        <v>63.510049444417085</v>
      </c>
      <c r="BI46">
        <f t="shared" si="24"/>
        <v>35.707921579598313</v>
      </c>
      <c r="BJ46">
        <f t="shared" si="25"/>
        <v>48.42059829457876</v>
      </c>
      <c r="BK46">
        <f t="shared" si="26"/>
        <v>3.6233479038825571</v>
      </c>
      <c r="BL46">
        <f t="shared" si="27"/>
        <v>-1.7385616644609987</v>
      </c>
      <c r="BM46">
        <f t="shared" si="28"/>
        <v>16.302790585628106</v>
      </c>
      <c r="BN46">
        <f t="shared" si="29"/>
        <v>0.35742923061564158</v>
      </c>
      <c r="BO46">
        <f t="shared" si="30"/>
        <v>-4.3216319425652374</v>
      </c>
      <c r="BP46">
        <f t="shared" si="31"/>
        <v>-11.706699686387088</v>
      </c>
      <c r="BQ46">
        <f t="shared" si="32"/>
        <v>0</v>
      </c>
      <c r="BR46">
        <f t="shared" si="33"/>
        <v>51.402033145631052</v>
      </c>
      <c r="BS46">
        <f t="shared" si="34"/>
        <v>0.50132594371006967</v>
      </c>
      <c r="BT46">
        <f t="shared" si="35"/>
        <v>-1.0151498336251388</v>
      </c>
      <c r="BU46">
        <f t="shared" si="36"/>
        <v>183.19290000000001</v>
      </c>
      <c r="BV46">
        <f t="shared" si="37"/>
        <v>-34.643591999999998</v>
      </c>
      <c r="BW46">
        <f t="shared" si="38"/>
        <v>342.15901471082009</v>
      </c>
      <c r="BX46">
        <f t="shared" si="39"/>
        <v>1602.203437758659</v>
      </c>
      <c r="BY46">
        <f t="shared" si="40"/>
        <v>1804</v>
      </c>
      <c r="BZ46">
        <v>1944.3624519679499</v>
      </c>
      <c r="CD46">
        <v>1800.8855362494501</v>
      </c>
      <c r="CG46">
        <f t="shared" si="41"/>
        <v>175.09273100103181</v>
      </c>
      <c r="CH46">
        <f t="shared" si="42"/>
        <v>106.04606080997438</v>
      </c>
      <c r="CI46">
        <f t="shared" si="43"/>
        <v>122.48040327964296</v>
      </c>
      <c r="CJ46">
        <f t="shared" si="44"/>
        <v>110.33452602851246</v>
      </c>
      <c r="CK46">
        <f t="shared" si="45"/>
        <v>122.36448609745187</v>
      </c>
      <c r="CL46">
        <f t="shared" si="46"/>
        <v>93.205911107387891</v>
      </c>
      <c r="CM46">
        <f t="shared" si="47"/>
        <v>87.853733140006554</v>
      </c>
      <c r="CN46">
        <f t="shared" si="48"/>
        <v>69.184015072797678</v>
      </c>
      <c r="CO46">
        <f t="shared" si="49"/>
        <v>594.41459008444383</v>
      </c>
      <c r="CP46">
        <f t="shared" si="50"/>
        <v>407.6600251042168</v>
      </c>
      <c r="CQ46">
        <f t="shared" si="51"/>
        <v>141.37410420833291</v>
      </c>
      <c r="CR46">
        <f t="shared" si="52"/>
        <v>51.923016278429927</v>
      </c>
      <c r="CS46">
        <f t="shared" si="53"/>
        <v>-54.189018001214649</v>
      </c>
      <c r="CT46">
        <f t="shared" si="54"/>
        <v>18.841488125168659</v>
      </c>
      <c r="CU46">
        <f t="shared" si="55"/>
        <v>0</v>
      </c>
      <c r="CV46">
        <f t="shared" si="56"/>
        <v>34.31472990291261</v>
      </c>
      <c r="CW46">
        <f t="shared" si="57"/>
        <v>-0.20756732338281939</v>
      </c>
      <c r="CX46">
        <f t="shared" si="58"/>
        <v>-496.13709897579861</v>
      </c>
      <c r="CY46">
        <f t="shared" si="59"/>
        <v>7.2730350000000001</v>
      </c>
      <c r="CZ46">
        <f t="shared" si="60"/>
        <v>3.2978879999999999</v>
      </c>
      <c r="DA46">
        <v>9058.0904685836194</v>
      </c>
      <c r="DB46">
        <f t="shared" si="71"/>
        <v>1586005.7977987218</v>
      </c>
      <c r="DC46">
        <f t="shared" si="72"/>
        <v>960574.81265366776</v>
      </c>
      <c r="DD46">
        <f t="shared" si="73"/>
        <v>1109438.5735356119</v>
      </c>
      <c r="DE46">
        <f t="shared" si="74"/>
        <v>999420.11857455992</v>
      </c>
      <c r="DF46">
        <f t="shared" si="75"/>
        <v>1108388.5852124617</v>
      </c>
      <c r="DG46">
        <f t="shared" si="76"/>
        <v>844267.57501748239</v>
      </c>
      <c r="DH46">
        <f t="shared" si="77"/>
        <v>795787.06278498226</v>
      </c>
      <c r="DI46">
        <f t="shared" si="78"/>
        <v>626675.06750925409</v>
      </c>
    </row>
    <row r="47" spans="1:113" x14ac:dyDescent="0.3">
      <c r="A47" s="1">
        <v>45594</v>
      </c>
      <c r="B47">
        <v>44</v>
      </c>
      <c r="C47">
        <v>0</v>
      </c>
      <c r="D47">
        <v>0.41747572815533901</v>
      </c>
      <c r="E47">
        <v>-0.82298386589365702</v>
      </c>
      <c r="F47">
        <v>0.56806474673115404</v>
      </c>
      <c r="G47">
        <v>1.0071509804784899</v>
      </c>
      <c r="H47">
        <v>0.98473961626097495</v>
      </c>
      <c r="I47">
        <v>0.84603691473270604</v>
      </c>
      <c r="J47">
        <v>0.12321408127788901</v>
      </c>
      <c r="K47">
        <v>5.4852294662617904</v>
      </c>
      <c r="L47">
        <v>0.98781097843807897</v>
      </c>
      <c r="M47">
        <v>5.1006020849889797</v>
      </c>
      <c r="N47">
        <v>3.6889795580585498</v>
      </c>
      <c r="O47">
        <v>0.55925113700158802</v>
      </c>
      <c r="P47">
        <v>2.2155950254664298</v>
      </c>
      <c r="Q47">
        <v>0.65183496593795398</v>
      </c>
      <c r="R47">
        <v>2.3859552663013401</v>
      </c>
      <c r="S47">
        <v>3.4889436461558101</v>
      </c>
      <c r="T47">
        <v>10.837597253320199</v>
      </c>
      <c r="U47">
        <v>9</v>
      </c>
      <c r="V47">
        <v>145</v>
      </c>
      <c r="W47">
        <v>1918</v>
      </c>
      <c r="X47">
        <v>9064.3588243064205</v>
      </c>
      <c r="Y47">
        <f t="shared" si="8"/>
        <v>17385440.225019716</v>
      </c>
      <c r="Z47">
        <f t="shared" si="70"/>
        <v>10.993414002560849</v>
      </c>
      <c r="AA47">
        <f t="shared" si="80"/>
        <v>5.5345596663947783</v>
      </c>
      <c r="AB47">
        <f t="shared" si="81"/>
        <v>2.3902874588006151</v>
      </c>
      <c r="AC47">
        <f t="shared" si="82"/>
        <v>2.9415717965515205</v>
      </c>
      <c r="AD47">
        <f t="shared" si="83"/>
        <v>3.7688136292665075</v>
      </c>
      <c r="AE47">
        <f t="shared" si="84"/>
        <v>3.6408261293058071</v>
      </c>
      <c r="AF47">
        <f t="shared" si="85"/>
        <v>6.8785597724613794</v>
      </c>
      <c r="AG47">
        <f t="shared" si="86"/>
        <v>12.737920341454856</v>
      </c>
      <c r="AH47">
        <f t="shared" si="87"/>
        <v>14.752361412031716</v>
      </c>
      <c r="AI47">
        <f t="shared" si="88"/>
        <v>6.9687240579263854</v>
      </c>
      <c r="AJ47">
        <f t="shared" si="88"/>
        <v>4.6296050148216619</v>
      </c>
      <c r="AK47">
        <f t="shared" si="88"/>
        <v>3.6948385064954095</v>
      </c>
      <c r="AL47">
        <f t="shared" si="88"/>
        <v>2.5944664113759068</v>
      </c>
      <c r="AM47">
        <f t="shared" si="88"/>
        <v>2.3895751703221002</v>
      </c>
      <c r="AN47">
        <f t="shared" si="88"/>
        <v>6.5870344778956778</v>
      </c>
      <c r="AO47">
        <f t="shared" si="88"/>
        <v>3.6424813908642166</v>
      </c>
      <c r="AP47">
        <f t="shared" si="10"/>
        <v>0.38448113315532784</v>
      </c>
      <c r="AQ47">
        <f t="shared" si="11"/>
        <v>0.4200451153550297</v>
      </c>
      <c r="AR47">
        <f t="shared" si="12"/>
        <v>0.29060898809436136</v>
      </c>
      <c r="AS47">
        <f t="shared" si="13"/>
        <v>0.42923059783034068</v>
      </c>
      <c r="AT47">
        <f t="shared" si="14"/>
        <v>0.6146081351924878</v>
      </c>
      <c r="AU47">
        <f t="shared" si="15"/>
        <v>0.65286180664066473</v>
      </c>
      <c r="AV47">
        <f t="shared" si="16"/>
        <v>0.51623406088732804</v>
      </c>
      <c r="AW47">
        <f t="shared" si="17"/>
        <v>0.84423594738408281</v>
      </c>
      <c r="BC47">
        <f t="shared" si="18"/>
        <v>70.007509695774473</v>
      </c>
      <c r="BD47">
        <f t="shared" si="19"/>
        <v>52.266670292666738</v>
      </c>
      <c r="BE47">
        <f t="shared" si="20"/>
        <v>31.711485558656175</v>
      </c>
      <c r="BF47">
        <f t="shared" si="21"/>
        <v>31.021360204853348</v>
      </c>
      <c r="BG47">
        <f t="shared" si="22"/>
        <v>14.372683150628145</v>
      </c>
      <c r="BH47">
        <f t="shared" si="23"/>
        <v>79.98461018519437</v>
      </c>
      <c r="BI47">
        <f t="shared" si="24"/>
        <v>47.679708769586647</v>
      </c>
      <c r="BJ47">
        <f t="shared" si="25"/>
        <v>84.777243488295582</v>
      </c>
      <c r="BK47">
        <f t="shared" si="26"/>
        <v>3.6258553234813968</v>
      </c>
      <c r="BL47">
        <f t="shared" si="27"/>
        <v>-1.7378162835777069</v>
      </c>
      <c r="BM47">
        <f t="shared" si="28"/>
        <v>16.469313301838703</v>
      </c>
      <c r="BN47">
        <f t="shared" si="29"/>
        <v>0.37217158249413956</v>
      </c>
      <c r="BO47">
        <f t="shared" si="30"/>
        <v>-4.0167250095091829</v>
      </c>
      <c r="BP47">
        <f t="shared" si="31"/>
        <v>-14.309945775156748</v>
      </c>
      <c r="BQ47">
        <f t="shared" si="32"/>
        <v>0</v>
      </c>
      <c r="BR47">
        <f t="shared" si="33"/>
        <v>52.625891077669799</v>
      </c>
      <c r="BS47">
        <f t="shared" si="34"/>
        <v>0.53583561087071552</v>
      </c>
      <c r="BT47">
        <f t="shared" si="35"/>
        <v>-1.0146626442649613</v>
      </c>
      <c r="BU47">
        <f t="shared" si="36"/>
        <v>160.98769999999999</v>
      </c>
      <c r="BV47">
        <f t="shared" si="37"/>
        <v>-38.974041</v>
      </c>
      <c r="BW47">
        <f t="shared" si="38"/>
        <v>411.82127134565548</v>
      </c>
      <c r="BX47">
        <f t="shared" si="39"/>
        <v>1574.8128222600762</v>
      </c>
      <c r="BY47">
        <f t="shared" si="40"/>
        <v>1918</v>
      </c>
      <c r="BZ47">
        <v>1986.63409259744</v>
      </c>
      <c r="CD47">
        <v>1928.93549429827</v>
      </c>
      <c r="CG47">
        <f t="shared" si="41"/>
        <v>196.39644429240218</v>
      </c>
      <c r="CH47">
        <f t="shared" si="42"/>
        <v>152.98100647410985</v>
      </c>
      <c r="CI47">
        <f t="shared" si="43"/>
        <v>77.963662454597824</v>
      </c>
      <c r="CJ47">
        <f t="shared" si="44"/>
        <v>127.73832412228194</v>
      </c>
      <c r="CK47">
        <f t="shared" si="45"/>
        <v>91.30271141362401</v>
      </c>
      <c r="CL47">
        <f t="shared" si="46"/>
        <v>117.38360357292466</v>
      </c>
      <c r="CM47">
        <f t="shared" si="47"/>
        <v>117.30843535933452</v>
      </c>
      <c r="CN47">
        <f t="shared" si="48"/>
        <v>121.1308884628375</v>
      </c>
      <c r="CO47">
        <f t="shared" si="49"/>
        <v>594.8259352912944</v>
      </c>
      <c r="CP47">
        <f t="shared" si="50"/>
        <v>407.48524730035376</v>
      </c>
      <c r="CQ47">
        <f t="shared" si="51"/>
        <v>142.81815145355517</v>
      </c>
      <c r="CR47">
        <f t="shared" si="52"/>
        <v>54.064607706895742</v>
      </c>
      <c r="CS47">
        <f t="shared" si="53"/>
        <v>-50.365784670922721</v>
      </c>
      <c r="CT47">
        <f t="shared" si="54"/>
        <v>23.031313744893158</v>
      </c>
      <c r="CU47">
        <f t="shared" si="55"/>
        <v>0</v>
      </c>
      <c r="CV47">
        <f t="shared" si="56"/>
        <v>35.131747281553331</v>
      </c>
      <c r="CW47">
        <f t="shared" si="57"/>
        <v>-0.22185559099242438</v>
      </c>
      <c r="CX47">
        <f t="shared" si="58"/>
        <v>-495.89899351805832</v>
      </c>
      <c r="CY47">
        <f t="shared" si="59"/>
        <v>6.3914549999999997</v>
      </c>
      <c r="CZ47">
        <f t="shared" si="60"/>
        <v>3.710124</v>
      </c>
      <c r="DA47">
        <v>9064.3588243064205</v>
      </c>
      <c r="DB47">
        <f t="shared" si="71"/>
        <v>1780207.84288424</v>
      </c>
      <c r="DC47">
        <f t="shared" si="72"/>
        <v>1386674.7359848751</v>
      </c>
      <c r="DD47">
        <f t="shared" si="73"/>
        <v>706690.61174558091</v>
      </c>
      <c r="DE47">
        <f t="shared" si="74"/>
        <v>1157866.00545992</v>
      </c>
      <c r="DF47">
        <f t="shared" si="75"/>
        <v>827600.53788518533</v>
      </c>
      <c r="DG47">
        <f t="shared" si="76"/>
        <v>1064007.1028751263</v>
      </c>
      <c r="DH47">
        <f t="shared" si="77"/>
        <v>1063325.7512149632</v>
      </c>
      <c r="DI47">
        <f t="shared" si="78"/>
        <v>1097973.837734198</v>
      </c>
    </row>
    <row r="48" spans="1:113" x14ac:dyDescent="0.3">
      <c r="A48" s="1">
        <v>45601</v>
      </c>
      <c r="B48">
        <v>45</v>
      </c>
      <c r="C48">
        <v>0</v>
      </c>
      <c r="D48">
        <v>0.42718446601941701</v>
      </c>
      <c r="E48">
        <v>-0.74851074817110097</v>
      </c>
      <c r="F48">
        <v>0.66312265824079497</v>
      </c>
      <c r="G48">
        <v>1.0075010379059099</v>
      </c>
      <c r="H48">
        <v>0.98793755695333796</v>
      </c>
      <c r="I48">
        <v>0.86136464634696797</v>
      </c>
      <c r="J48">
        <v>0.10979448939516701</v>
      </c>
      <c r="K48">
        <v>10.509757879475099</v>
      </c>
      <c r="L48">
        <v>0.98835902405117404</v>
      </c>
      <c r="M48">
        <v>13.510738698978299</v>
      </c>
      <c r="N48">
        <v>2.06950807666361</v>
      </c>
      <c r="O48">
        <v>0.55784276900065599</v>
      </c>
      <c r="P48">
        <v>2.52470654986117</v>
      </c>
      <c r="Q48">
        <v>1.36838586418383</v>
      </c>
      <c r="R48">
        <v>2.3516110967196902</v>
      </c>
      <c r="S48">
        <v>1.4478832586802699</v>
      </c>
      <c r="T48">
        <v>1.1658064624019999</v>
      </c>
      <c r="U48">
        <v>18</v>
      </c>
      <c r="V48">
        <v>150</v>
      </c>
      <c r="W48">
        <v>1994</v>
      </c>
      <c r="X48">
        <v>9067.5093411532198</v>
      </c>
      <c r="Y48">
        <f t="shared" si="8"/>
        <v>18080613.626259521</v>
      </c>
      <c r="Z48">
        <f t="shared" si="70"/>
        <v>20.106787100514808</v>
      </c>
      <c r="AA48">
        <f t="shared" si="80"/>
        <v>4.8367879098609992</v>
      </c>
      <c r="AB48">
        <f t="shared" si="81"/>
        <v>1.6334721254609328</v>
      </c>
      <c r="AC48">
        <f t="shared" si="82"/>
        <v>3.4071780888266261</v>
      </c>
      <c r="AD48">
        <f t="shared" si="83"/>
        <v>2.6874706344271075</v>
      </c>
      <c r="AE48">
        <f t="shared" si="84"/>
        <v>4.1720241613725939</v>
      </c>
      <c r="AF48">
        <f t="shared" si="85"/>
        <v>6.2628750994032352</v>
      </c>
      <c r="AG48">
        <f t="shared" si="86"/>
        <v>8.1716626502021708</v>
      </c>
      <c r="AH48">
        <f t="shared" si="87"/>
        <v>14.752361412031716</v>
      </c>
      <c r="AI48">
        <f t="shared" si="88"/>
        <v>6.9687240579263854</v>
      </c>
      <c r="AJ48">
        <f t="shared" si="88"/>
        <v>4.6296050148216619</v>
      </c>
      <c r="AK48">
        <f t="shared" si="88"/>
        <v>3.6948385064954095</v>
      </c>
      <c r="AL48">
        <f t="shared" si="88"/>
        <v>2.5944664113759068</v>
      </c>
      <c r="AM48">
        <f t="shared" si="88"/>
        <v>2.3895751703221002</v>
      </c>
      <c r="AN48">
        <f t="shared" si="88"/>
        <v>6.5870344778956778</v>
      </c>
      <c r="AO48">
        <f t="shared" si="88"/>
        <v>3.6424813908642166</v>
      </c>
      <c r="AP48">
        <f t="shared" si="10"/>
        <v>0.62138872060378347</v>
      </c>
      <c r="AQ48">
        <f t="shared" si="11"/>
        <v>0.3748996466838922</v>
      </c>
      <c r="AR48">
        <f t="shared" si="12"/>
        <v>0.19680550310472975</v>
      </c>
      <c r="AS48">
        <f t="shared" si="13"/>
        <v>0.4746927570955094</v>
      </c>
      <c r="AT48">
        <f t="shared" si="14"/>
        <v>0.51100434552988017</v>
      </c>
      <c r="AU48">
        <f t="shared" si="15"/>
        <v>0.69760703921342793</v>
      </c>
      <c r="AV48">
        <f t="shared" si="16"/>
        <v>0.48108507460970407</v>
      </c>
      <c r="AW48">
        <f t="shared" si="17"/>
        <v>0.7485341778639083</v>
      </c>
      <c r="BC48">
        <f t="shared" si="18"/>
        <v>113.14437336757379</v>
      </c>
      <c r="BD48">
        <f t="shared" si="19"/>
        <v>46.649170552792654</v>
      </c>
      <c r="BE48">
        <f t="shared" si="20"/>
        <v>21.475574139996098</v>
      </c>
      <c r="BF48">
        <f t="shared" si="21"/>
        <v>34.307002061198013</v>
      </c>
      <c r="BG48">
        <f t="shared" si="22"/>
        <v>11.949896407724676</v>
      </c>
      <c r="BH48">
        <f t="shared" si="23"/>
        <v>85.466520673102835</v>
      </c>
      <c r="BI48">
        <f t="shared" si="24"/>
        <v>44.433325866485092</v>
      </c>
      <c r="BJ48">
        <f t="shared" si="25"/>
        <v>75.166977256429661</v>
      </c>
      <c r="BK48">
        <f t="shared" si="26"/>
        <v>3.6271155690764836</v>
      </c>
      <c r="BL48">
        <f t="shared" si="27"/>
        <v>-1.7434598398207324</v>
      </c>
      <c r="BM48">
        <f t="shared" si="28"/>
        <v>16.767689424400128</v>
      </c>
      <c r="BN48">
        <f t="shared" si="29"/>
        <v>0.33163732946380503</v>
      </c>
      <c r="BO48">
        <f t="shared" si="30"/>
        <v>-3.6532451809374695</v>
      </c>
      <c r="BP48">
        <f t="shared" si="31"/>
        <v>-16.704520631333104</v>
      </c>
      <c r="BQ48">
        <f t="shared" si="32"/>
        <v>0</v>
      </c>
      <c r="BR48">
        <f t="shared" si="33"/>
        <v>53.849749009708681</v>
      </c>
      <c r="BS48">
        <f t="shared" si="34"/>
        <v>1.0266667179722839</v>
      </c>
      <c r="BT48">
        <f t="shared" si="35"/>
        <v>-1.0152255874019571</v>
      </c>
      <c r="BU48">
        <f t="shared" si="36"/>
        <v>166.53900000000002</v>
      </c>
      <c r="BV48">
        <f t="shared" si="37"/>
        <v>-77.948081999999999</v>
      </c>
      <c r="BW48">
        <f t="shared" si="38"/>
        <v>432.5928403253028</v>
      </c>
      <c r="BX48">
        <f t="shared" si="39"/>
        <v>1541.3265708873582</v>
      </c>
      <c r="BY48">
        <f t="shared" si="40"/>
        <v>1994</v>
      </c>
      <c r="BZ48">
        <v>1973.9194078066801</v>
      </c>
      <c r="CD48">
        <v>2003.7180156069201</v>
      </c>
      <c r="CG48">
        <f t="shared" si="41"/>
        <v>317.41098515927769</v>
      </c>
      <c r="CH48">
        <f t="shared" si="42"/>
        <v>136.5389649347895</v>
      </c>
      <c r="CI48">
        <f t="shared" si="43"/>
        <v>52.798359451574598</v>
      </c>
      <c r="CJ48">
        <f t="shared" si="44"/>
        <v>141.26778838896576</v>
      </c>
      <c r="CK48">
        <f t="shared" si="45"/>
        <v>75.911917886362403</v>
      </c>
      <c r="CL48">
        <f t="shared" si="46"/>
        <v>125.42873132993931</v>
      </c>
      <c r="CM48">
        <f t="shared" si="47"/>
        <v>109.3212200686435</v>
      </c>
      <c r="CN48">
        <f t="shared" si="48"/>
        <v>107.39960823796159</v>
      </c>
      <c r="CO48">
        <f t="shared" si="49"/>
        <v>595.03268009987494</v>
      </c>
      <c r="CP48">
        <f t="shared" si="50"/>
        <v>408.80855513966594</v>
      </c>
      <c r="CQ48">
        <f t="shared" si="51"/>
        <v>145.40560154823186</v>
      </c>
      <c r="CR48">
        <f t="shared" si="52"/>
        <v>48.176279334023285</v>
      </c>
      <c r="CS48">
        <f t="shared" si="53"/>
        <v>-45.808104786258717</v>
      </c>
      <c r="CT48">
        <f t="shared" si="54"/>
        <v>26.885290948215292</v>
      </c>
      <c r="CU48">
        <f t="shared" si="55"/>
        <v>0</v>
      </c>
      <c r="CV48">
        <f t="shared" si="56"/>
        <v>35.948764660194136</v>
      </c>
      <c r="CW48">
        <f t="shared" si="57"/>
        <v>-0.42507766719324991</v>
      </c>
      <c r="CX48">
        <f t="shared" si="58"/>
        <v>-496.17412233710178</v>
      </c>
      <c r="CY48">
        <f t="shared" si="59"/>
        <v>6.6118500000000004</v>
      </c>
      <c r="CZ48">
        <f t="shared" si="60"/>
        <v>7.420248</v>
      </c>
      <c r="DA48">
        <v>9067.5093411532198</v>
      </c>
      <c r="DB48">
        <f t="shared" si="71"/>
        <v>2878127.0729163964</v>
      </c>
      <c r="DC48">
        <f t="shared" si="72"/>
        <v>1238068.3399775957</v>
      </c>
      <c r="DD48">
        <f t="shared" si="73"/>
        <v>478749.61752471805</v>
      </c>
      <c r="DE48">
        <f t="shared" si="74"/>
        <v>1280946.9908210034</v>
      </c>
      <c r="DF48">
        <f t="shared" si="75"/>
        <v>688332.02453944727</v>
      </c>
      <c r="DG48">
        <f t="shared" si="76"/>
        <v>1137326.1929832222</v>
      </c>
      <c r="DH48">
        <f t="shared" si="77"/>
        <v>991271.18415869179</v>
      </c>
      <c r="DI48">
        <f t="shared" si="78"/>
        <v>973846.950933913</v>
      </c>
    </row>
    <row r="49" spans="1:113" x14ac:dyDescent="0.3">
      <c r="A49" s="1">
        <v>45608</v>
      </c>
      <c r="B49">
        <v>46</v>
      </c>
      <c r="C49">
        <v>0</v>
      </c>
      <c r="D49">
        <v>0.43689320388349501</v>
      </c>
      <c r="E49">
        <v>-0.66312265824079497</v>
      </c>
      <c r="F49">
        <v>0.74851074817109997</v>
      </c>
      <c r="G49">
        <v>1.0081571036960999</v>
      </c>
      <c r="H49">
        <v>0.98840870265567404</v>
      </c>
      <c r="I49">
        <v>0.835665409798241</v>
      </c>
      <c r="J49">
        <v>0.123948475976909</v>
      </c>
      <c r="K49">
        <v>10.0104184297256</v>
      </c>
      <c r="L49">
        <v>0.98927847212188602</v>
      </c>
      <c r="M49">
        <v>6.6710940659664004</v>
      </c>
      <c r="N49">
        <v>3.3302559972829302</v>
      </c>
      <c r="O49">
        <v>5.5669872813772399</v>
      </c>
      <c r="P49">
        <v>2.5484043247668202</v>
      </c>
      <c r="Q49">
        <v>1.0320139499132399</v>
      </c>
      <c r="R49">
        <v>1.3953257246525701</v>
      </c>
      <c r="S49">
        <v>0.214748412297738</v>
      </c>
      <c r="T49">
        <v>0.63331747708419595</v>
      </c>
      <c r="U49">
        <v>13</v>
      </c>
      <c r="V49">
        <v>153</v>
      </c>
      <c r="W49">
        <v>2082</v>
      </c>
      <c r="X49">
        <v>9073.4139332648992</v>
      </c>
      <c r="Y49">
        <f t="shared" si="8"/>
        <v>18890847.809057519</v>
      </c>
      <c r="Z49">
        <f t="shared" si="70"/>
        <v>18.735166326275284</v>
      </c>
      <c r="AA49">
        <f t="shared" si="80"/>
        <v>5.7486499522134302</v>
      </c>
      <c r="AB49">
        <f t="shared" si="81"/>
        <v>6.3020497378346594</v>
      </c>
      <c r="AC49">
        <f t="shared" si="82"/>
        <v>3.5705577514148077</v>
      </c>
      <c r="AD49">
        <f t="shared" si="83"/>
        <v>1.9726286719627275</v>
      </c>
      <c r="AE49">
        <f t="shared" si="84"/>
        <v>3.4813378053388671</v>
      </c>
      <c r="AF49">
        <f t="shared" si="85"/>
        <v>4.5987609818800026</v>
      </c>
      <c r="AG49">
        <f t="shared" si="86"/>
        <v>5.1277319346953902</v>
      </c>
      <c r="AH49">
        <f t="shared" si="87"/>
        <v>14.752361412031716</v>
      </c>
      <c r="AI49">
        <f t="shared" si="88"/>
        <v>6.9687240579263854</v>
      </c>
      <c r="AJ49">
        <f t="shared" si="88"/>
        <v>4.6296050148216619</v>
      </c>
      <c r="AK49">
        <f t="shared" si="88"/>
        <v>3.6948385064954095</v>
      </c>
      <c r="AL49">
        <f t="shared" si="88"/>
        <v>2.5944664113759068</v>
      </c>
      <c r="AM49">
        <f t="shared" si="88"/>
        <v>2.3895751703221002</v>
      </c>
      <c r="AN49">
        <f t="shared" si="88"/>
        <v>6.5870344778956778</v>
      </c>
      <c r="AO49">
        <f t="shared" si="88"/>
        <v>3.6424813908642166</v>
      </c>
      <c r="AP49">
        <f t="shared" si="10"/>
        <v>0.59445149304029399</v>
      </c>
      <c r="AQ49">
        <f t="shared" si="11"/>
        <v>0.43304115354193395</v>
      </c>
      <c r="AR49">
        <f t="shared" si="12"/>
        <v>0.602608206252499</v>
      </c>
      <c r="AS49">
        <f t="shared" si="13"/>
        <v>0.48930943233057012</v>
      </c>
      <c r="AT49">
        <f t="shared" si="14"/>
        <v>0.41519811585145583</v>
      </c>
      <c r="AU49">
        <f t="shared" si="15"/>
        <v>0.63748192172375107</v>
      </c>
      <c r="AV49">
        <f t="shared" si="16"/>
        <v>0.36842617364182234</v>
      </c>
      <c r="AW49">
        <f t="shared" si="17"/>
        <v>0.6134168394377314</v>
      </c>
      <c r="BC49">
        <f t="shared" si="18"/>
        <v>108.23955995227827</v>
      </c>
      <c r="BD49">
        <f t="shared" si="19"/>
        <v>53.883781450956747</v>
      </c>
      <c r="BE49">
        <f t="shared" si="20"/>
        <v>65.757090155445894</v>
      </c>
      <c r="BF49">
        <f t="shared" si="21"/>
        <v>35.363378633036447</v>
      </c>
      <c r="BG49">
        <f t="shared" si="22"/>
        <v>9.7094565173658491</v>
      </c>
      <c r="BH49">
        <f t="shared" si="23"/>
        <v>78.10036134836578</v>
      </c>
      <c r="BI49">
        <f t="shared" si="24"/>
        <v>34.028077558736015</v>
      </c>
      <c r="BJ49">
        <f t="shared" si="25"/>
        <v>61.598643030979929</v>
      </c>
      <c r="BK49">
        <f t="shared" si="26"/>
        <v>3.6294774787444699</v>
      </c>
      <c r="BL49">
        <f t="shared" si="27"/>
        <v>-1.7442912927854928</v>
      </c>
      <c r="BM49">
        <f t="shared" si="28"/>
        <v>16.267417189266315</v>
      </c>
      <c r="BN49">
        <f t="shared" si="29"/>
        <v>0.37438984224558103</v>
      </c>
      <c r="BO49">
        <f t="shared" si="30"/>
        <v>-3.2364928112359741</v>
      </c>
      <c r="BP49">
        <f t="shared" si="31"/>
        <v>-18.855505961399988</v>
      </c>
      <c r="BQ49">
        <f t="shared" si="32"/>
        <v>0</v>
      </c>
      <c r="BR49">
        <f t="shared" si="33"/>
        <v>55.073606941747556</v>
      </c>
      <c r="BS49">
        <f t="shared" si="34"/>
        <v>0.97788774514460475</v>
      </c>
      <c r="BT49">
        <f t="shared" si="35"/>
        <v>-1.0161700288295752</v>
      </c>
      <c r="BU49">
        <f t="shared" si="36"/>
        <v>169.86977999999999</v>
      </c>
      <c r="BV49">
        <f t="shared" si="37"/>
        <v>-56.295836999999999</v>
      </c>
      <c r="BW49">
        <f t="shared" si="38"/>
        <v>446.68034864716492</v>
      </c>
      <c r="BX49">
        <f t="shared" si="39"/>
        <v>1565.2935081791275</v>
      </c>
      <c r="BY49">
        <f t="shared" si="40"/>
        <v>2082</v>
      </c>
      <c r="BZ49">
        <v>2011.9738542632199</v>
      </c>
      <c r="CD49">
        <v>2063.9099201951299</v>
      </c>
      <c r="CG49">
        <f t="shared" si="41"/>
        <v>303.65120540325165</v>
      </c>
      <c r="CH49">
        <f t="shared" si="42"/>
        <v>157.71418138635269</v>
      </c>
      <c r="CI49">
        <f t="shared" si="43"/>
        <v>161.6658283445297</v>
      </c>
      <c r="CJ49">
        <f t="shared" si="44"/>
        <v>145.6176870406558</v>
      </c>
      <c r="CK49">
        <f t="shared" si="45"/>
        <v>61.679485806339599</v>
      </c>
      <c r="CL49">
        <f t="shared" si="46"/>
        <v>114.61832262721624</v>
      </c>
      <c r="CM49">
        <f t="shared" si="47"/>
        <v>83.720740745120366</v>
      </c>
      <c r="CN49">
        <f t="shared" si="48"/>
        <v>88.012986167424913</v>
      </c>
      <c r="CO49">
        <f t="shared" si="49"/>
        <v>595.42015422721681</v>
      </c>
      <c r="CP49">
        <f t="shared" si="50"/>
        <v>409.00351522846574</v>
      </c>
      <c r="CQ49">
        <f t="shared" si="51"/>
        <v>141.06735413403194</v>
      </c>
      <c r="CR49">
        <f t="shared" si="52"/>
        <v>54.386849782580192</v>
      </c>
      <c r="CS49">
        <f t="shared" si="53"/>
        <v>-40.582439582942463</v>
      </c>
      <c r="CT49">
        <f t="shared" si="54"/>
        <v>30.347220069109557</v>
      </c>
      <c r="CU49">
        <f t="shared" si="55"/>
        <v>0</v>
      </c>
      <c r="CV49">
        <f t="shared" si="56"/>
        <v>36.765782038834935</v>
      </c>
      <c r="CW49">
        <f t="shared" si="57"/>
        <v>-0.40488138380868166</v>
      </c>
      <c r="CX49">
        <f t="shared" si="58"/>
        <v>-496.6357019133676</v>
      </c>
      <c r="CY49">
        <f t="shared" si="59"/>
        <v>6.7440870000000004</v>
      </c>
      <c r="CZ49">
        <f t="shared" si="60"/>
        <v>5.3590679999999997</v>
      </c>
      <c r="DA49">
        <v>9073.4139332648992</v>
      </c>
      <c r="DB49">
        <f t="shared" si="71"/>
        <v>2755153.0779585452</v>
      </c>
      <c r="DC49">
        <f t="shared" si="72"/>
        <v>1431006.0508644001</v>
      </c>
      <c r="DD49">
        <f t="shared" si="73"/>
        <v>1466860.9794340672</v>
      </c>
      <c r="DE49">
        <f t="shared" si="74"/>
        <v>1321249.5505244939</v>
      </c>
      <c r="DF49">
        <f t="shared" si="75"/>
        <v>559643.50591185631</v>
      </c>
      <c r="DG49">
        <f t="shared" si="76"/>
        <v>1039979.4855332354</v>
      </c>
      <c r="DH49">
        <f t="shared" si="77"/>
        <v>759632.93558003346</v>
      </c>
      <c r="DI49">
        <f t="shared" si="78"/>
        <v>798578.25499976403</v>
      </c>
    </row>
    <row r="50" spans="1:113" x14ac:dyDescent="0.3">
      <c r="A50" s="1">
        <v>45615</v>
      </c>
      <c r="B50">
        <v>47</v>
      </c>
      <c r="C50">
        <v>0</v>
      </c>
      <c r="D50">
        <v>0.44660194174757201</v>
      </c>
      <c r="E50">
        <v>-0.56806474673115503</v>
      </c>
      <c r="F50">
        <v>0.82298386589365602</v>
      </c>
      <c r="G50">
        <v>1.01077139002994</v>
      </c>
      <c r="H50">
        <v>0.98793279814455803</v>
      </c>
      <c r="I50">
        <v>0.84453751280271405</v>
      </c>
      <c r="J50">
        <v>0.11648010877525899</v>
      </c>
      <c r="K50">
        <v>2.92998233925917</v>
      </c>
      <c r="L50">
        <v>0.98906699027571998</v>
      </c>
      <c r="M50">
        <v>3.5140081048396099</v>
      </c>
      <c r="N50">
        <v>4.2567319376887198</v>
      </c>
      <c r="O50">
        <v>2.2761474120986498</v>
      </c>
      <c r="P50">
        <v>2.2659389343749998</v>
      </c>
      <c r="Q50">
        <v>3.0565752567055</v>
      </c>
      <c r="R50">
        <v>0.28337931011797701</v>
      </c>
      <c r="S50">
        <v>3.2408020680372198</v>
      </c>
      <c r="T50">
        <v>2.4487877317978302</v>
      </c>
      <c r="U50">
        <v>9</v>
      </c>
      <c r="V50">
        <v>133</v>
      </c>
      <c r="W50">
        <v>2054</v>
      </c>
      <c r="X50">
        <v>9096.9425102695004</v>
      </c>
      <c r="Y50">
        <f t="shared" si="8"/>
        <v>18685119.916093554</v>
      </c>
      <c r="Z50">
        <f t="shared" si="70"/>
        <v>14.755107900604779</v>
      </c>
      <c r="AA50">
        <f t="shared" si="80"/>
        <v>7.1310569137954349</v>
      </c>
      <c r="AB50">
        <f t="shared" si="81"/>
        <v>5.1120697941242472</v>
      </c>
      <c r="AC50">
        <f t="shared" si="82"/>
        <v>3.3371062597994419</v>
      </c>
      <c r="AD50">
        <f t="shared" si="83"/>
        <v>3.7469952918924547</v>
      </c>
      <c r="AE50">
        <f t="shared" si="84"/>
        <v>2.0240482127874104</v>
      </c>
      <c r="AF50">
        <f t="shared" si="85"/>
        <v>6.4599347553532214</v>
      </c>
      <c r="AG50">
        <f t="shared" si="86"/>
        <v>5.2690402958802949</v>
      </c>
      <c r="AH50">
        <f t="shared" si="87"/>
        <v>14.752361412031716</v>
      </c>
      <c r="AI50">
        <f t="shared" si="88"/>
        <v>6.9687240579263854</v>
      </c>
      <c r="AJ50">
        <f t="shared" si="88"/>
        <v>4.6296050148216619</v>
      </c>
      <c r="AK50">
        <f t="shared" si="88"/>
        <v>3.6948385064954095</v>
      </c>
      <c r="AL50">
        <f t="shared" si="88"/>
        <v>2.5944664113759068</v>
      </c>
      <c r="AM50">
        <f t="shared" si="88"/>
        <v>2.3895751703221002</v>
      </c>
      <c r="AN50">
        <f t="shared" si="88"/>
        <v>6.5870344778956778</v>
      </c>
      <c r="AO50">
        <f t="shared" si="88"/>
        <v>3.6424813908642166</v>
      </c>
      <c r="AP50">
        <f t="shared" si="10"/>
        <v>0.50007446219210705</v>
      </c>
      <c r="AQ50">
        <f t="shared" si="11"/>
        <v>0.50805886130453615</v>
      </c>
      <c r="AR50">
        <f t="shared" si="12"/>
        <v>0.53340747866052196</v>
      </c>
      <c r="AS50">
        <f t="shared" si="13"/>
        <v>0.46822014750233393</v>
      </c>
      <c r="AT50">
        <f t="shared" si="14"/>
        <v>0.61288766372830117</v>
      </c>
      <c r="AU50">
        <f t="shared" si="15"/>
        <v>0.43806373114088826</v>
      </c>
      <c r="AV50">
        <f t="shared" si="16"/>
        <v>0.49269401031177135</v>
      </c>
      <c r="AW50">
        <f t="shared" si="17"/>
        <v>0.62208258628816804</v>
      </c>
      <c r="BC50">
        <f t="shared" si="18"/>
        <v>91.055099305431327</v>
      </c>
      <c r="BD50">
        <f t="shared" si="19"/>
        <v>63.218316372105676</v>
      </c>
      <c r="BE50">
        <f t="shared" si="20"/>
        <v>58.205851330826562</v>
      </c>
      <c r="BF50">
        <f t="shared" si="21"/>
        <v>33.839213523590885</v>
      </c>
      <c r="BG50">
        <f t="shared" si="22"/>
        <v>14.332449724142979</v>
      </c>
      <c r="BH50">
        <f t="shared" si="23"/>
        <v>53.668872057116459</v>
      </c>
      <c r="BI50">
        <f t="shared" si="24"/>
        <v>45.505534609255811</v>
      </c>
      <c r="BJ50">
        <f t="shared" si="25"/>
        <v>62.468847780047746</v>
      </c>
      <c r="BK50">
        <f t="shared" si="26"/>
        <v>3.6388891997320774</v>
      </c>
      <c r="BL50">
        <f t="shared" si="27"/>
        <v>-1.7434514417272144</v>
      </c>
      <c r="BM50">
        <f t="shared" si="28"/>
        <v>16.440125308123061</v>
      </c>
      <c r="BN50">
        <f t="shared" si="29"/>
        <v>0.35183142999871553</v>
      </c>
      <c r="BO50">
        <f t="shared" si="30"/>
        <v>-2.7725450883995473</v>
      </c>
      <c r="BP50">
        <f t="shared" si="31"/>
        <v>-20.731535555647991</v>
      </c>
      <c r="BQ50">
        <f t="shared" si="32"/>
        <v>0</v>
      </c>
      <c r="BR50">
        <f t="shared" si="33"/>
        <v>56.297464873786303</v>
      </c>
      <c r="BS50">
        <f t="shared" si="34"/>
        <v>0.28622118477521052</v>
      </c>
      <c r="BT50">
        <f t="shared" si="35"/>
        <v>-1.0159527982723848</v>
      </c>
      <c r="BU50">
        <f t="shared" si="36"/>
        <v>147.66458</v>
      </c>
      <c r="BV50">
        <f t="shared" si="37"/>
        <v>-38.974041</v>
      </c>
      <c r="BW50">
        <f t="shared" si="38"/>
        <v>422.29418470251738</v>
      </c>
      <c r="BX50">
        <f t="shared" si="39"/>
        <v>1559.6908321885983</v>
      </c>
      <c r="BY50">
        <f t="shared" si="40"/>
        <v>2054</v>
      </c>
      <c r="BZ50">
        <v>1981.9850161777999</v>
      </c>
      <c r="CD50">
        <v>2048.25974247568</v>
      </c>
      <c r="CG50">
        <f t="shared" si="41"/>
        <v>255.44256346198344</v>
      </c>
      <c r="CH50">
        <f t="shared" si="42"/>
        <v>185.03573332775204</v>
      </c>
      <c r="CI50">
        <f t="shared" si="43"/>
        <v>143.10087547444965</v>
      </c>
      <c r="CJ50">
        <f t="shared" si="44"/>
        <v>139.3415503567534</v>
      </c>
      <c r="CK50">
        <f t="shared" si="45"/>
        <v>91.047127895288696</v>
      </c>
      <c r="CL50">
        <f t="shared" si="46"/>
        <v>78.763221914466627</v>
      </c>
      <c r="CM50">
        <f t="shared" si="47"/>
        <v>111.95922129052309</v>
      </c>
      <c r="CN50">
        <f t="shared" si="48"/>
        <v>89.256346650285124</v>
      </c>
      <c r="CO50">
        <f t="shared" si="49"/>
        <v>596.96415839718429</v>
      </c>
      <c r="CP50">
        <f t="shared" si="50"/>
        <v>408.80658594462136</v>
      </c>
      <c r="CQ50">
        <f t="shared" si="51"/>
        <v>142.56503978880588</v>
      </c>
      <c r="CR50">
        <f t="shared" si="52"/>
        <v>51.109835185055353</v>
      </c>
      <c r="CS50">
        <f t="shared" si="53"/>
        <v>-34.764991026811479</v>
      </c>
      <c r="CT50">
        <f t="shared" si="54"/>
        <v>33.366618385408003</v>
      </c>
      <c r="CU50">
        <f t="shared" si="55"/>
        <v>0</v>
      </c>
      <c r="CV50">
        <f t="shared" si="56"/>
        <v>37.582799417475655</v>
      </c>
      <c r="CW50">
        <f t="shared" si="57"/>
        <v>-0.1185060656936764</v>
      </c>
      <c r="CX50">
        <f t="shared" si="58"/>
        <v>-496.52953419813639</v>
      </c>
      <c r="CY50">
        <f t="shared" si="59"/>
        <v>5.8625069999999999</v>
      </c>
      <c r="CZ50">
        <f t="shared" si="60"/>
        <v>3.710124</v>
      </c>
      <c r="DA50">
        <v>9096.9425102695004</v>
      </c>
      <c r="DB50">
        <f t="shared" si="71"/>
        <v>2323746.3144895318</v>
      </c>
      <c r="DC50">
        <f t="shared" si="72"/>
        <v>1683259.4284281186</v>
      </c>
      <c r="DD50">
        <f t="shared" si="73"/>
        <v>1301780.4373603032</v>
      </c>
      <c r="DE50">
        <f t="shared" si="74"/>
        <v>1267582.0728872083</v>
      </c>
      <c r="DF50">
        <f t="shared" si="75"/>
        <v>828250.48818859586</v>
      </c>
      <c r="DG50">
        <f t="shared" si="76"/>
        <v>716504.50167950173</v>
      </c>
      <c r="DH50">
        <f t="shared" si="77"/>
        <v>1018486.5995744296</v>
      </c>
      <c r="DI50">
        <f t="shared" si="78"/>
        <v>811959.85415432951</v>
      </c>
    </row>
    <row r="51" spans="1:113" x14ac:dyDescent="0.3">
      <c r="A51" s="1">
        <v>45622</v>
      </c>
      <c r="B51">
        <v>48</v>
      </c>
      <c r="C51">
        <v>0</v>
      </c>
      <c r="D51">
        <v>0.45631067961165001</v>
      </c>
      <c r="E51">
        <v>-0.46472317204376801</v>
      </c>
      <c r="F51">
        <v>0.88545602565321002</v>
      </c>
      <c r="G51">
        <v>1.01144217667626</v>
      </c>
      <c r="H51">
        <v>0.98482583688608005</v>
      </c>
      <c r="I51">
        <v>0.85621997770236502</v>
      </c>
      <c r="J51">
        <v>9.5924327225477696E-2</v>
      </c>
      <c r="K51">
        <v>21.485821441319398</v>
      </c>
      <c r="L51">
        <v>0.99136465861162104</v>
      </c>
      <c r="M51">
        <v>5.7054969112351799</v>
      </c>
      <c r="N51">
        <v>10.556321819959299</v>
      </c>
      <c r="O51">
        <v>5.4154731568912204</v>
      </c>
      <c r="P51">
        <v>2.6671697033978399</v>
      </c>
      <c r="Q51">
        <v>1.12873800955377</v>
      </c>
      <c r="R51">
        <v>0.65728516994747699</v>
      </c>
      <c r="S51">
        <v>0.86019396580027396</v>
      </c>
      <c r="T51">
        <v>1.3888448995902001</v>
      </c>
      <c r="U51">
        <v>9</v>
      </c>
      <c r="V51">
        <v>147</v>
      </c>
      <c r="W51">
        <v>2103</v>
      </c>
      <c r="X51">
        <v>9102.9795900864192</v>
      </c>
      <c r="Y51">
        <f t="shared" si="8"/>
        <v>19143566.07795174</v>
      </c>
      <c r="Z51">
        <f t="shared" si="70"/>
        <v>14.558561651598048</v>
      </c>
      <c r="AA51">
        <f t="shared" si="80"/>
        <v>14.121850276857018</v>
      </c>
      <c r="AB51">
        <f t="shared" si="81"/>
        <v>7.7159045642471318</v>
      </c>
      <c r="AC51">
        <f t="shared" si="82"/>
        <v>3.6683015813376727</v>
      </c>
      <c r="AD51">
        <f t="shared" si="83"/>
        <v>2.4401863617161288</v>
      </c>
      <c r="AE51">
        <f t="shared" si="84"/>
        <v>1.6693092763411821</v>
      </c>
      <c r="AF51">
        <f t="shared" si="85"/>
        <v>5.3821482945475285</v>
      </c>
      <c r="AG51">
        <f t="shared" si="86"/>
        <v>4.2868170623243627</v>
      </c>
      <c r="AH51">
        <f t="shared" si="87"/>
        <v>14.752361412031716</v>
      </c>
      <c r="AI51">
        <f t="shared" si="88"/>
        <v>6.9687240579263854</v>
      </c>
      <c r="AJ51">
        <f t="shared" si="88"/>
        <v>4.6296050148216619</v>
      </c>
      <c r="AK51">
        <f t="shared" si="88"/>
        <v>3.6948385064954095</v>
      </c>
      <c r="AL51">
        <f t="shared" si="88"/>
        <v>2.5944664113759068</v>
      </c>
      <c r="AM51">
        <f t="shared" si="88"/>
        <v>2.3895751703221002</v>
      </c>
      <c r="AN51">
        <f t="shared" si="88"/>
        <v>6.5870344778956778</v>
      </c>
      <c r="AO51">
        <f t="shared" si="88"/>
        <v>3.6424813908642166</v>
      </c>
      <c r="AP51">
        <f t="shared" si="10"/>
        <v>0.49471063113216052</v>
      </c>
      <c r="AQ51">
        <f t="shared" si="11"/>
        <v>0.72885232951377066</v>
      </c>
      <c r="AR51">
        <f t="shared" si="12"/>
        <v>0.66587714505165352</v>
      </c>
      <c r="AS51">
        <f t="shared" si="13"/>
        <v>0.49774749120175982</v>
      </c>
      <c r="AT51">
        <f t="shared" si="14"/>
        <v>0.48085110168149892</v>
      </c>
      <c r="AU51">
        <f t="shared" si="15"/>
        <v>0.36863934130735054</v>
      </c>
      <c r="AV51">
        <f t="shared" si="16"/>
        <v>0.42481854081765302</v>
      </c>
      <c r="AW51">
        <f t="shared" si="17"/>
        <v>0.5547513589024472</v>
      </c>
      <c r="BC51">
        <f t="shared" si="18"/>
        <v>90.078436414708932</v>
      </c>
      <c r="BD51">
        <f t="shared" si="19"/>
        <v>90.691887623880675</v>
      </c>
      <c r="BE51">
        <f t="shared" si="20"/>
        <v>72.661047435629612</v>
      </c>
      <c r="BF51">
        <f t="shared" si="21"/>
        <v>35.973214150345953</v>
      </c>
      <c r="BG51">
        <f t="shared" si="22"/>
        <v>11.244759272400749</v>
      </c>
      <c r="BH51">
        <f t="shared" si="23"/>
        <v>45.163423121830846</v>
      </c>
      <c r="BI51">
        <f t="shared" si="24"/>
        <v>39.236512738603096</v>
      </c>
      <c r="BJ51">
        <f t="shared" si="25"/>
        <v>55.707520124986239</v>
      </c>
      <c r="BK51">
        <f t="shared" si="26"/>
        <v>3.6413041061161473</v>
      </c>
      <c r="BL51">
        <f t="shared" si="27"/>
        <v>-1.7379684411671992</v>
      </c>
      <c r="BM51">
        <f t="shared" si="28"/>
        <v>16.667541123224783</v>
      </c>
      <c r="BN51">
        <f t="shared" si="29"/>
        <v>0.28974211626571772</v>
      </c>
      <c r="BO51">
        <f t="shared" si="30"/>
        <v>-2.2681674149464377</v>
      </c>
      <c r="BP51">
        <f t="shared" si="31"/>
        <v>-22.305252678142192</v>
      </c>
      <c r="BQ51">
        <f t="shared" si="32"/>
        <v>0</v>
      </c>
      <c r="BR51">
        <f t="shared" si="33"/>
        <v>57.521322805825179</v>
      </c>
      <c r="BS51">
        <f t="shared" si="34"/>
        <v>2.0988854391381682</v>
      </c>
      <c r="BT51">
        <f t="shared" si="35"/>
        <v>-1.0183129241266606</v>
      </c>
      <c r="BU51">
        <f t="shared" si="36"/>
        <v>163.20822000000001</v>
      </c>
      <c r="BV51">
        <f t="shared" si="37"/>
        <v>-38.974041</v>
      </c>
      <c r="BW51">
        <f t="shared" si="38"/>
        <v>440.75680088238607</v>
      </c>
      <c r="BX51">
        <f t="shared" si="39"/>
        <v>1577.3725192084175</v>
      </c>
      <c r="BY51">
        <f t="shared" si="40"/>
        <v>2103</v>
      </c>
      <c r="BZ51">
        <v>2018.12931579107</v>
      </c>
      <c r="CD51">
        <v>2113.5277422271402</v>
      </c>
      <c r="CG51">
        <f t="shared" si="41"/>
        <v>252.70266998707248</v>
      </c>
      <c r="CH51">
        <f t="shared" si="42"/>
        <v>265.44901693660671</v>
      </c>
      <c r="CI51">
        <f t="shared" si="43"/>
        <v>178.63941963206494</v>
      </c>
      <c r="CJ51">
        <f t="shared" si="44"/>
        <v>148.12883956449562</v>
      </c>
      <c r="CK51">
        <f t="shared" si="45"/>
        <v>71.43252237622788</v>
      </c>
      <c r="CL51">
        <f t="shared" si="46"/>
        <v>66.280817565459358</v>
      </c>
      <c r="CM51">
        <f t="shared" si="47"/>
        <v>96.535277523718619</v>
      </c>
      <c r="CN51">
        <f t="shared" si="48"/>
        <v>79.595668945435875</v>
      </c>
      <c r="CO51">
        <f t="shared" si="49"/>
        <v>597.36032669966528</v>
      </c>
      <c r="CP51">
        <f t="shared" si="50"/>
        <v>407.52092539450496</v>
      </c>
      <c r="CQ51">
        <f t="shared" si="51"/>
        <v>144.53713818349155</v>
      </c>
      <c r="CR51">
        <f t="shared" si="52"/>
        <v>42.090247049742096</v>
      </c>
      <c r="CS51">
        <f t="shared" si="53"/>
        <v>-28.440590617567526</v>
      </c>
      <c r="CT51">
        <f t="shared" si="54"/>
        <v>35.899456270566048</v>
      </c>
      <c r="CU51">
        <f t="shared" si="55"/>
        <v>0</v>
      </c>
      <c r="CV51">
        <f t="shared" si="56"/>
        <v>38.399816796116461</v>
      </c>
      <c r="CW51">
        <f t="shared" si="57"/>
        <v>-0.8690155340156045</v>
      </c>
      <c r="CX51">
        <f t="shared" si="58"/>
        <v>-497.68300529744863</v>
      </c>
      <c r="CY51">
        <f t="shared" si="59"/>
        <v>6.4796129999999996</v>
      </c>
      <c r="CZ51">
        <f t="shared" si="60"/>
        <v>3.710124</v>
      </c>
      <c r="DA51">
        <v>9102.9795900864192</v>
      </c>
      <c r="DB51">
        <f t="shared" si="71"/>
        <v>2300347.2472526645</v>
      </c>
      <c r="DC51">
        <f t="shared" si="72"/>
        <v>2416376.983382435</v>
      </c>
      <c r="DD51">
        <f t="shared" si="73"/>
        <v>1626150.9908955703</v>
      </c>
      <c r="DE51">
        <f t="shared" si="74"/>
        <v>1348413.8032587892</v>
      </c>
      <c r="DF51">
        <f t="shared" si="75"/>
        <v>650248.79325919389</v>
      </c>
      <c r="DG51">
        <f t="shared" si="76"/>
        <v>603352.92951261799</v>
      </c>
      <c r="DH51">
        <f t="shared" si="77"/>
        <v>878758.66102173878</v>
      </c>
      <c r="DI51">
        <f t="shared" si="78"/>
        <v>724557.74986957817</v>
      </c>
    </row>
    <row r="52" spans="1:113" x14ac:dyDescent="0.3">
      <c r="A52" s="1">
        <v>45629</v>
      </c>
      <c r="B52">
        <v>49</v>
      </c>
      <c r="C52">
        <v>0</v>
      </c>
      <c r="D52">
        <v>0.466019417475728</v>
      </c>
      <c r="E52">
        <v>-0.35460488704253501</v>
      </c>
      <c r="F52">
        <v>0.93501624268541395</v>
      </c>
      <c r="G52">
        <v>1.0134789173654799</v>
      </c>
      <c r="H52">
        <v>0.97980178805196705</v>
      </c>
      <c r="I52">
        <v>0.85425057336602495</v>
      </c>
      <c r="J52">
        <v>0.171493847394944</v>
      </c>
      <c r="K52">
        <v>10.5605995972334</v>
      </c>
      <c r="L52">
        <v>0.99287592476810105</v>
      </c>
      <c r="M52">
        <v>2.68741051985609</v>
      </c>
      <c r="N52">
        <v>2.3064189058306499</v>
      </c>
      <c r="O52">
        <v>1.01275836609101</v>
      </c>
      <c r="P52">
        <v>2.7214651304217301</v>
      </c>
      <c r="Q52">
        <v>0.48309703447916302</v>
      </c>
      <c r="R52">
        <v>7.6195466263126205E-2</v>
      </c>
      <c r="S52">
        <v>5.08315739350975</v>
      </c>
      <c r="T52">
        <v>4.4402370909984201</v>
      </c>
      <c r="U52">
        <v>10</v>
      </c>
      <c r="V52">
        <v>142</v>
      </c>
      <c r="W52">
        <v>2039</v>
      </c>
      <c r="X52">
        <v>9121.31025628936</v>
      </c>
      <c r="Y52">
        <f t="shared" si="8"/>
        <v>18598351.612574004</v>
      </c>
      <c r="Z52">
        <f t="shared" si="70"/>
        <v>11.422547510814919</v>
      </c>
      <c r="AA52">
        <f t="shared" si="80"/>
        <v>9.3673440442591591</v>
      </c>
      <c r="AB52">
        <f t="shared" si="81"/>
        <v>4.4849154200022197</v>
      </c>
      <c r="AC52">
        <f t="shared" si="82"/>
        <v>3.8219556048230316</v>
      </c>
      <c r="AD52">
        <f t="shared" si="83"/>
        <v>1.337162261079808</v>
      </c>
      <c r="AE52">
        <f t="shared" si="84"/>
        <v>0.91085010443371728</v>
      </c>
      <c r="AF52">
        <f t="shared" si="85"/>
        <v>8.85066119969302</v>
      </c>
      <c r="AG52">
        <f t="shared" si="86"/>
        <v>6.7979864752768204</v>
      </c>
      <c r="AH52">
        <f t="shared" si="87"/>
        <v>14.752361412031716</v>
      </c>
      <c r="AI52">
        <f t="shared" ref="AI52:AO67" si="89">PERCENTILE(AA$4:AA$107, 0.6)</f>
        <v>6.9687240579263854</v>
      </c>
      <c r="AJ52">
        <f t="shared" si="89"/>
        <v>4.6296050148216619</v>
      </c>
      <c r="AK52">
        <f t="shared" si="89"/>
        <v>3.6948385064954095</v>
      </c>
      <c r="AL52">
        <f t="shared" si="89"/>
        <v>2.5944664113759068</v>
      </c>
      <c r="AM52">
        <f t="shared" si="89"/>
        <v>2.3895751703221002</v>
      </c>
      <c r="AN52">
        <f t="shared" si="89"/>
        <v>6.5870344778956778</v>
      </c>
      <c r="AO52">
        <f t="shared" si="89"/>
        <v>3.6424813908642166</v>
      </c>
      <c r="AP52">
        <f t="shared" si="10"/>
        <v>0.39907943815845259</v>
      </c>
      <c r="AQ52">
        <f t="shared" si="11"/>
        <v>0.60207451191286621</v>
      </c>
      <c r="AR52">
        <f t="shared" si="12"/>
        <v>0.48928536837309539</v>
      </c>
      <c r="AS52">
        <f t="shared" si="13"/>
        <v>0.51056885756470949</v>
      </c>
      <c r="AT52">
        <f t="shared" si="14"/>
        <v>0.30395407402576347</v>
      </c>
      <c r="AU52">
        <f t="shared" si="15"/>
        <v>0.19050397564629132</v>
      </c>
      <c r="AV52">
        <f t="shared" si="16"/>
        <v>0.60899349422336224</v>
      </c>
      <c r="AW52">
        <f t="shared" si="17"/>
        <v>0.69895945311451357</v>
      </c>
      <c r="BC52">
        <f t="shared" si="18"/>
        <v>72.665614062719442</v>
      </c>
      <c r="BD52">
        <f t="shared" si="19"/>
        <v>74.916785972312397</v>
      </c>
      <c r="BE52">
        <f t="shared" si="20"/>
        <v>53.391211314452235</v>
      </c>
      <c r="BF52">
        <f t="shared" si="21"/>
        <v>36.899840132449548</v>
      </c>
      <c r="BG52">
        <f t="shared" si="22"/>
        <v>7.1080015837191404</v>
      </c>
      <c r="BH52">
        <f t="shared" si="23"/>
        <v>23.339374544213509</v>
      </c>
      <c r="BI52">
        <f t="shared" si="24"/>
        <v>56.247029491299536</v>
      </c>
      <c r="BJ52">
        <f t="shared" si="25"/>
        <v>70.188738028442117</v>
      </c>
      <c r="BK52">
        <f t="shared" si="26"/>
        <v>3.6486365986755551</v>
      </c>
      <c r="BL52">
        <f t="shared" si="27"/>
        <v>-1.7291022660593447</v>
      </c>
      <c r="BM52">
        <f t="shared" si="28"/>
        <v>16.629203863386149</v>
      </c>
      <c r="BN52">
        <f t="shared" si="29"/>
        <v>0.51800196788415542</v>
      </c>
      <c r="BO52">
        <f t="shared" si="30"/>
        <v>-1.730714753115195</v>
      </c>
      <c r="BP52">
        <f t="shared" si="31"/>
        <v>-23.553708989534247</v>
      </c>
      <c r="BQ52">
        <f t="shared" si="32"/>
        <v>0</v>
      </c>
      <c r="BR52">
        <f t="shared" si="33"/>
        <v>58.745180737864061</v>
      </c>
      <c r="BS52">
        <f t="shared" si="34"/>
        <v>1.0316332928549392</v>
      </c>
      <c r="BT52">
        <f t="shared" si="35"/>
        <v>-1.0198652710310723</v>
      </c>
      <c r="BU52">
        <f t="shared" si="36"/>
        <v>157.65692000000001</v>
      </c>
      <c r="BV52">
        <f t="shared" si="37"/>
        <v>-43.304490000000001</v>
      </c>
      <c r="BW52">
        <f t="shared" si="38"/>
        <v>394.75659512960794</v>
      </c>
      <c r="BX52">
        <f t="shared" si="39"/>
        <v>1567.1409412571552</v>
      </c>
      <c r="BY52">
        <f t="shared" si="40"/>
        <v>2039</v>
      </c>
      <c r="BZ52">
        <v>1961.8975342280701</v>
      </c>
      <c r="CD52">
        <v>2020.5721756156299</v>
      </c>
      <c r="CG52">
        <f t="shared" si="41"/>
        <v>203.8533906756501</v>
      </c>
      <c r="CH52">
        <f t="shared" si="42"/>
        <v>219.27636208074719</v>
      </c>
      <c r="CI52">
        <f t="shared" si="43"/>
        <v>131.2639349317968</v>
      </c>
      <c r="CJ52">
        <f t="shared" si="44"/>
        <v>151.94445723117542</v>
      </c>
      <c r="CK52">
        <f t="shared" si="45"/>
        <v>45.1536995927951</v>
      </c>
      <c r="CL52">
        <f t="shared" si="46"/>
        <v>34.25233782842259</v>
      </c>
      <c r="CM52">
        <f t="shared" si="47"/>
        <v>138.38698250278549</v>
      </c>
      <c r="CN52">
        <f t="shared" si="48"/>
        <v>100.28663173796564</v>
      </c>
      <c r="CO52">
        <f t="shared" si="49"/>
        <v>598.56323094033382</v>
      </c>
      <c r="CP52">
        <f t="shared" si="50"/>
        <v>405.44197401709329</v>
      </c>
      <c r="CQ52">
        <f t="shared" si="51"/>
        <v>144.20468615701046</v>
      </c>
      <c r="CR52">
        <f t="shared" si="52"/>
        <v>75.249090748345523</v>
      </c>
      <c r="CS52">
        <f t="shared" si="53"/>
        <v>-21.701462354486779</v>
      </c>
      <c r="CT52">
        <f t="shared" si="54"/>
        <v>37.908799244763834</v>
      </c>
      <c r="CU52">
        <f t="shared" si="55"/>
        <v>0</v>
      </c>
      <c r="CV52">
        <f t="shared" si="56"/>
        <v>39.216834174757267</v>
      </c>
      <c r="CW52">
        <f t="shared" si="57"/>
        <v>-0.42713401130970213</v>
      </c>
      <c r="CX52">
        <f t="shared" si="58"/>
        <v>-498.44168826645279</v>
      </c>
      <c r="CY52">
        <f t="shared" si="59"/>
        <v>6.2592179999999997</v>
      </c>
      <c r="CZ52">
        <f t="shared" si="60"/>
        <v>4.1223599999999996</v>
      </c>
      <c r="DA52">
        <v>9121.31025628936</v>
      </c>
      <c r="DB52">
        <f t="shared" si="71"/>
        <v>1859410.0231491691</v>
      </c>
      <c r="DC52">
        <f t="shared" si="72"/>
        <v>2000087.7304089386</v>
      </c>
      <c r="DD52">
        <f t="shared" si="73"/>
        <v>1197299.0759742972</v>
      </c>
      <c r="DE52">
        <f t="shared" si="74"/>
        <v>1385932.5361290404</v>
      </c>
      <c r="DF52">
        <f t="shared" si="75"/>
        <v>411860.90320517065</v>
      </c>
      <c r="DG52">
        <f t="shared" si="76"/>
        <v>312426.200336279</v>
      </c>
      <c r="DH52">
        <f t="shared" si="77"/>
        <v>1262270.6028395935</v>
      </c>
      <c r="DI52">
        <f t="shared" si="78"/>
        <v>914745.48264021997</v>
      </c>
    </row>
    <row r="53" spans="1:113" x14ac:dyDescent="0.3">
      <c r="A53" s="1">
        <v>45636</v>
      </c>
      <c r="B53">
        <v>50</v>
      </c>
      <c r="C53">
        <v>0</v>
      </c>
      <c r="D53">
        <v>0.475728155339805</v>
      </c>
      <c r="E53">
        <v>-0.23931566428755699</v>
      </c>
      <c r="F53">
        <v>0.97094181742605201</v>
      </c>
      <c r="G53">
        <v>1.01368165457395</v>
      </c>
      <c r="H53">
        <v>0.97834286432474704</v>
      </c>
      <c r="I53">
        <v>0.84759766258866998</v>
      </c>
      <c r="J53">
        <v>0.117768863691568</v>
      </c>
      <c r="K53">
        <v>0.77714025611820603</v>
      </c>
      <c r="L53">
        <v>0.99249094359350098</v>
      </c>
      <c r="M53">
        <v>16.951702266673699</v>
      </c>
      <c r="N53">
        <v>5.5895928001467201</v>
      </c>
      <c r="O53">
        <v>2.3233415848938699</v>
      </c>
      <c r="P53">
        <v>1.9072510381799701</v>
      </c>
      <c r="Q53">
        <v>1.1714835289982499</v>
      </c>
      <c r="R53">
        <v>1.22541984190243</v>
      </c>
      <c r="S53">
        <v>1.04588005176831</v>
      </c>
      <c r="T53">
        <v>0.61963239834674999</v>
      </c>
      <c r="U53">
        <v>14</v>
      </c>
      <c r="V53">
        <v>134</v>
      </c>
      <c r="W53">
        <v>2107</v>
      </c>
      <c r="X53">
        <v>9123.1348911655605</v>
      </c>
      <c r="Y53">
        <f t="shared" si="8"/>
        <v>19222445.215685837</v>
      </c>
      <c r="Z53">
        <f t="shared" si="70"/>
        <v>23.805230773162648</v>
      </c>
      <c r="AA53">
        <f t="shared" si="80"/>
        <v>10.2732648222763</v>
      </c>
      <c r="AB53">
        <f t="shared" si="81"/>
        <v>4.3415535238948681</v>
      </c>
      <c r="AC53">
        <f t="shared" si="82"/>
        <v>3.0538377196268796</v>
      </c>
      <c r="AD53">
        <f t="shared" si="83"/>
        <v>1.6394903203761828</v>
      </c>
      <c r="AE53">
        <f t="shared" si="84"/>
        <v>1.6808448941192886</v>
      </c>
      <c r="AF53">
        <f t="shared" si="85"/>
        <v>7.2413428915534235</v>
      </c>
      <c r="AG53">
        <f t="shared" si="86"/>
        <v>4.3585249597490012</v>
      </c>
      <c r="AH53">
        <f t="shared" si="87"/>
        <v>14.752361412031716</v>
      </c>
      <c r="AI53">
        <f t="shared" si="89"/>
        <v>6.9687240579263854</v>
      </c>
      <c r="AJ53">
        <f t="shared" si="89"/>
        <v>4.6296050148216619</v>
      </c>
      <c r="AK53">
        <f t="shared" si="89"/>
        <v>3.6948385064954095</v>
      </c>
      <c r="AL53">
        <f t="shared" si="89"/>
        <v>2.5944664113759068</v>
      </c>
      <c r="AM53">
        <f t="shared" si="89"/>
        <v>2.3895751703221002</v>
      </c>
      <c r="AN53">
        <f t="shared" si="89"/>
        <v>6.5870344778956778</v>
      </c>
      <c r="AO53">
        <f t="shared" si="89"/>
        <v>3.6424813908642166</v>
      </c>
      <c r="AP53">
        <f t="shared" si="10"/>
        <v>0.68256907041039983</v>
      </c>
      <c r="AQ53">
        <f t="shared" si="11"/>
        <v>0.63259318522200048</v>
      </c>
      <c r="AR53">
        <f t="shared" si="12"/>
        <v>0.47833280899687297</v>
      </c>
      <c r="AS53">
        <f t="shared" si="13"/>
        <v>0.44073682646819839</v>
      </c>
      <c r="AT53">
        <f t="shared" si="14"/>
        <v>0.36037329096800974</v>
      </c>
      <c r="AU53">
        <f t="shared" si="15"/>
        <v>0.37104682904224418</v>
      </c>
      <c r="AV53">
        <f t="shared" si="16"/>
        <v>0.53545418425974944</v>
      </c>
      <c r="AW53">
        <f t="shared" si="17"/>
        <v>0.56027606507686489</v>
      </c>
      <c r="BC53">
        <f t="shared" si="18"/>
        <v>124.2842800182006</v>
      </c>
      <c r="BD53">
        <f t="shared" si="19"/>
        <v>78.71425766596586</v>
      </c>
      <c r="BE53">
        <f t="shared" si="20"/>
        <v>52.196059262318784</v>
      </c>
      <c r="BF53">
        <f t="shared" si="21"/>
        <v>31.852938533562028</v>
      </c>
      <c r="BG53">
        <f t="shared" si="22"/>
        <v>8.4273715729619507</v>
      </c>
      <c r="BH53">
        <f t="shared" si="23"/>
        <v>45.458373701023</v>
      </c>
      <c r="BI53">
        <f t="shared" si="24"/>
        <v>49.454891684362572</v>
      </c>
      <c r="BJ53">
        <f t="shared" si="25"/>
        <v>56.262305030795055</v>
      </c>
      <c r="BK53">
        <f t="shared" si="26"/>
        <v>3.6493664751298778</v>
      </c>
      <c r="BL53">
        <f t="shared" si="27"/>
        <v>-1.7265276347885044</v>
      </c>
      <c r="BM53">
        <f t="shared" si="28"/>
        <v>16.499695481359986</v>
      </c>
      <c r="BN53">
        <f t="shared" si="29"/>
        <v>0.35572415030856452</v>
      </c>
      <c r="BO53">
        <f t="shared" si="30"/>
        <v>-1.1680243729533151</v>
      </c>
      <c r="BP53">
        <f t="shared" si="31"/>
        <v>-24.458699185525361</v>
      </c>
      <c r="BQ53">
        <f t="shared" si="32"/>
        <v>0</v>
      </c>
      <c r="BR53">
        <f t="shared" si="33"/>
        <v>59.969038669902808</v>
      </c>
      <c r="BS53">
        <f t="shared" si="34"/>
        <v>7.5916500199419187E-2</v>
      </c>
      <c r="BT53">
        <f t="shared" si="35"/>
        <v>-1.019469824913203</v>
      </c>
      <c r="BU53">
        <f t="shared" si="36"/>
        <v>148.77484000000001</v>
      </c>
      <c r="BV53">
        <f t="shared" si="37"/>
        <v>-60.626285999999993</v>
      </c>
      <c r="BW53">
        <f t="shared" si="38"/>
        <v>446.65047746918987</v>
      </c>
      <c r="BX53">
        <f t="shared" si="39"/>
        <v>1540.5748203349503</v>
      </c>
      <c r="BY53">
        <f t="shared" si="40"/>
        <v>2107</v>
      </c>
      <c r="BZ53">
        <v>1987.2252967653201</v>
      </c>
      <c r="CD53">
        <v>2143.0429945327301</v>
      </c>
      <c r="CG53">
        <f t="shared" si="41"/>
        <v>348.6624618285648</v>
      </c>
      <c r="CH53">
        <f t="shared" si="42"/>
        <v>230.39130471051632</v>
      </c>
      <c r="CI53">
        <f t="shared" si="43"/>
        <v>128.32561685766868</v>
      </c>
      <c r="CJ53">
        <f t="shared" si="44"/>
        <v>131.16255895222457</v>
      </c>
      <c r="CK53">
        <f t="shared" si="45"/>
        <v>53.535019636740266</v>
      </c>
      <c r="CL53">
        <f t="shared" si="46"/>
        <v>66.713680359706075</v>
      </c>
      <c r="CM53">
        <f t="shared" si="47"/>
        <v>121.67599412978194</v>
      </c>
      <c r="CN53">
        <f t="shared" si="48"/>
        <v>80.388353229345995</v>
      </c>
      <c r="CO53">
        <f t="shared" si="49"/>
        <v>598.68296805223065</v>
      </c>
      <c r="CP53">
        <f t="shared" si="50"/>
        <v>404.83827138752315</v>
      </c>
      <c r="CQ53">
        <f t="shared" si="51"/>
        <v>143.08161882689583</v>
      </c>
      <c r="CR53">
        <f t="shared" si="52"/>
        <v>51.675322735325175</v>
      </c>
      <c r="CS53">
        <f t="shared" si="53"/>
        <v>-14.645877902840214</v>
      </c>
      <c r="CT53">
        <f t="shared" si="54"/>
        <v>39.365346562791352</v>
      </c>
      <c r="CU53">
        <f t="shared" si="55"/>
        <v>0</v>
      </c>
      <c r="CV53">
        <f t="shared" si="56"/>
        <v>40.033851553397987</v>
      </c>
      <c r="CW53">
        <f t="shared" si="57"/>
        <v>-3.1432214798956963E-2</v>
      </c>
      <c r="CX53">
        <f t="shared" si="58"/>
        <v>-498.24842074748938</v>
      </c>
      <c r="CY53">
        <f t="shared" si="59"/>
        <v>5.9065859999999999</v>
      </c>
      <c r="CZ53">
        <f t="shared" si="60"/>
        <v>5.7713039999999998</v>
      </c>
      <c r="DA53">
        <v>9123.1348911655605</v>
      </c>
      <c r="DB53">
        <f t="shared" si="71"/>
        <v>3180894.6707478599</v>
      </c>
      <c r="DC53">
        <f t="shared" si="72"/>
        <v>2101890.9506256678</v>
      </c>
      <c r="DD53">
        <f t="shared" si="73"/>
        <v>1170731.9125845404</v>
      </c>
      <c r="DE53">
        <f t="shared" si="74"/>
        <v>1196613.7179915998</v>
      </c>
      <c r="DF53">
        <f t="shared" si="75"/>
        <v>488407.20554717857</v>
      </c>
      <c r="DG53">
        <f t="shared" si="76"/>
        <v>608637.90500770102</v>
      </c>
      <c r="DH53">
        <f t="shared" si="77"/>
        <v>1110066.5074626696</v>
      </c>
      <c r="DI53">
        <f t="shared" si="78"/>
        <v>733393.7901899881</v>
      </c>
    </row>
    <row r="54" spans="1:113" x14ac:dyDescent="0.3">
      <c r="A54" s="1">
        <v>45643</v>
      </c>
      <c r="B54">
        <v>51</v>
      </c>
      <c r="C54">
        <v>0</v>
      </c>
      <c r="D54">
        <v>0.485436893203883</v>
      </c>
      <c r="E54">
        <v>-0.12053668025532301</v>
      </c>
      <c r="F54">
        <v>0.99270887409805397</v>
      </c>
      <c r="G54">
        <v>1.0145490127700201</v>
      </c>
      <c r="H54">
        <v>0.97818151667229203</v>
      </c>
      <c r="I54">
        <v>0.85147730433542201</v>
      </c>
      <c r="J54">
        <v>8.5776505737005897E-3</v>
      </c>
      <c r="K54">
        <v>8.5226530838767296</v>
      </c>
      <c r="L54">
        <v>0.99361612631170704</v>
      </c>
      <c r="M54">
        <v>2.2219300831647102</v>
      </c>
      <c r="N54">
        <v>2.9592752214190901</v>
      </c>
      <c r="O54">
        <v>3.0258553197906402</v>
      </c>
      <c r="P54">
        <v>4.1873862797166703</v>
      </c>
      <c r="Q54">
        <v>2.6333329343874601</v>
      </c>
      <c r="R54">
        <v>3.5664559664001998</v>
      </c>
      <c r="S54">
        <v>0.88180304282695599</v>
      </c>
      <c r="T54">
        <v>2.51806091257696</v>
      </c>
      <c r="U54">
        <v>12</v>
      </c>
      <c r="V54">
        <v>138</v>
      </c>
      <c r="W54">
        <v>2166</v>
      </c>
      <c r="X54">
        <v>9130.9411149301905</v>
      </c>
      <c r="Y54">
        <f t="shared" si="8"/>
        <v>19777618.454938792</v>
      </c>
      <c r="Z54">
        <f t="shared" si="70"/>
        <v>16.505068547062297</v>
      </c>
      <c r="AA54">
        <f t="shared" si="80"/>
        <v>8.095907632557239</v>
      </c>
      <c r="AB54">
        <f t="shared" si="81"/>
        <v>4.9795544055433307</v>
      </c>
      <c r="AC54">
        <f t="shared" si="82"/>
        <v>5.1035375956047346</v>
      </c>
      <c r="AD54">
        <f t="shared" si="83"/>
        <v>3.2071545465191242</v>
      </c>
      <c r="AE54">
        <f t="shared" si="84"/>
        <v>4.406878413459844</v>
      </c>
      <c r="AF54">
        <f t="shared" si="85"/>
        <v>5.9507430669143524</v>
      </c>
      <c r="AG54">
        <f t="shared" si="86"/>
        <v>4.915249640438911</v>
      </c>
      <c r="AH54">
        <f t="shared" si="87"/>
        <v>14.752361412031716</v>
      </c>
      <c r="AI54">
        <f t="shared" si="89"/>
        <v>6.9687240579263854</v>
      </c>
      <c r="AJ54">
        <f t="shared" si="89"/>
        <v>4.6296050148216619</v>
      </c>
      <c r="AK54">
        <f t="shared" si="89"/>
        <v>3.6948385064954095</v>
      </c>
      <c r="AL54">
        <f t="shared" si="89"/>
        <v>2.5944664113759068</v>
      </c>
      <c r="AM54">
        <f t="shared" si="89"/>
        <v>2.3895751703221002</v>
      </c>
      <c r="AN54">
        <f t="shared" si="89"/>
        <v>6.5870344778956778</v>
      </c>
      <c r="AO54">
        <f t="shared" si="89"/>
        <v>3.6424813908642166</v>
      </c>
      <c r="AP54">
        <f t="shared" si="10"/>
        <v>0.54478539126679892</v>
      </c>
      <c r="AQ54">
        <f t="shared" si="11"/>
        <v>0.55228248586594686</v>
      </c>
      <c r="AR54">
        <f t="shared" si="12"/>
        <v>0.52457342510330895</v>
      </c>
      <c r="AS54">
        <f t="shared" si="13"/>
        <v>0.59958743263902692</v>
      </c>
      <c r="AT54">
        <f t="shared" si="14"/>
        <v>0.56586599667899729</v>
      </c>
      <c r="AU54">
        <f t="shared" si="15"/>
        <v>0.71465001692941754</v>
      </c>
      <c r="AV54">
        <f t="shared" si="16"/>
        <v>0.46197836294771544</v>
      </c>
      <c r="AW54">
        <f t="shared" si="17"/>
        <v>0.5997838301489733</v>
      </c>
      <c r="BC54">
        <f t="shared" si="18"/>
        <v>99.19620307043462</v>
      </c>
      <c r="BD54">
        <f t="shared" si="19"/>
        <v>68.721110047361904</v>
      </c>
      <c r="BE54">
        <f t="shared" si="20"/>
        <v>57.241872330586581</v>
      </c>
      <c r="BF54">
        <f t="shared" si="21"/>
        <v>43.333391925499242</v>
      </c>
      <c r="BG54">
        <f t="shared" si="22"/>
        <v>13.232842538659964</v>
      </c>
      <c r="BH54">
        <f t="shared" si="23"/>
        <v>87.554521403338043</v>
      </c>
      <c r="BI54">
        <f t="shared" si="24"/>
        <v>42.668617729981648</v>
      </c>
      <c r="BJ54">
        <f t="shared" si="25"/>
        <v>60.229631261779076</v>
      </c>
      <c r="BK54">
        <f t="shared" si="26"/>
        <v>3.6524890609124898</v>
      </c>
      <c r="BL54">
        <f t="shared" si="27"/>
        <v>-1.7262428970028774</v>
      </c>
      <c r="BM54">
        <f t="shared" si="28"/>
        <v>16.575218232570364</v>
      </c>
      <c r="BN54">
        <f t="shared" si="29"/>
        <v>2.5909033732078694E-2</v>
      </c>
      <c r="BO54">
        <f t="shared" si="30"/>
        <v>-0.58830156727195115</v>
      </c>
      <c r="BP54">
        <f t="shared" si="31"/>
        <v>-25.007026471197481</v>
      </c>
      <c r="BQ54">
        <f t="shared" si="32"/>
        <v>0</v>
      </c>
      <c r="BR54">
        <f t="shared" si="33"/>
        <v>61.192896601941683</v>
      </c>
      <c r="BS54">
        <f t="shared" si="34"/>
        <v>0.8325524118046661</v>
      </c>
      <c r="BT54">
        <f t="shared" si="35"/>
        <v>-1.0206255934732382</v>
      </c>
      <c r="BU54">
        <f t="shared" si="36"/>
        <v>153.21588</v>
      </c>
      <c r="BV54">
        <f t="shared" si="37"/>
        <v>-51.965387999999997</v>
      </c>
      <c r="BW54">
        <f t="shared" si="38"/>
        <v>472.1781903076411</v>
      </c>
      <c r="BX54">
        <f t="shared" si="39"/>
        <v>1555.4366068882457</v>
      </c>
      <c r="BY54">
        <f t="shared" si="40"/>
        <v>2166</v>
      </c>
      <c r="BZ54">
        <v>2027.6147949880101</v>
      </c>
      <c r="CD54">
        <v>2145.0009787628701</v>
      </c>
      <c r="CG54">
        <f t="shared" si="41"/>
        <v>278.28131089079881</v>
      </c>
      <c r="CH54">
        <f t="shared" si="42"/>
        <v>201.14203797938347</v>
      </c>
      <c r="CI54">
        <f t="shared" si="43"/>
        <v>140.73090345755952</v>
      </c>
      <c r="CJ54">
        <f t="shared" si="44"/>
        <v>178.43623962792205</v>
      </c>
      <c r="CK54">
        <f t="shared" si="45"/>
        <v>84.061854757884603</v>
      </c>
      <c r="CL54">
        <f t="shared" si="46"/>
        <v>128.49303394278465</v>
      </c>
      <c r="CM54">
        <f t="shared" si="47"/>
        <v>104.97943284507819</v>
      </c>
      <c r="CN54">
        <f t="shared" si="48"/>
        <v>86.056923371607837</v>
      </c>
      <c r="CO54">
        <f t="shared" si="49"/>
        <v>599.19523201285836</v>
      </c>
      <c r="CP54">
        <f t="shared" si="50"/>
        <v>404.77150572990536</v>
      </c>
      <c r="CQ54">
        <f t="shared" si="51"/>
        <v>143.73653500481251</v>
      </c>
      <c r="CR54">
        <f t="shared" si="52"/>
        <v>3.7637525557492584</v>
      </c>
      <c r="CS54">
        <f t="shared" si="53"/>
        <v>-7.3767235717254307</v>
      </c>
      <c r="CT54">
        <f t="shared" si="54"/>
        <v>40.247858484892731</v>
      </c>
      <c r="CU54">
        <f t="shared" si="55"/>
        <v>0</v>
      </c>
      <c r="CV54">
        <f t="shared" si="56"/>
        <v>40.850868932038793</v>
      </c>
      <c r="CW54">
        <f t="shared" si="57"/>
        <v>-0.3447072266304782</v>
      </c>
      <c r="CX54">
        <f t="shared" si="58"/>
        <v>-498.81328284121156</v>
      </c>
      <c r="CY54">
        <f t="shared" si="59"/>
        <v>6.0829019999999998</v>
      </c>
      <c r="CZ54">
        <f t="shared" si="60"/>
        <v>4.9468319999999997</v>
      </c>
      <c r="DA54">
        <v>9130.9411149301905</v>
      </c>
      <c r="DB54">
        <f t="shared" si="71"/>
        <v>2540970.2631294653</v>
      </c>
      <c r="DC54">
        <f t="shared" si="72"/>
        <v>1836616.1045268024</v>
      </c>
      <c r="DD54">
        <f t="shared" si="73"/>
        <v>1285005.5925219015</v>
      </c>
      <c r="DE54">
        <f t="shared" si="74"/>
        <v>1629290.7968121292</v>
      </c>
      <c r="DF54">
        <f t="shared" si="75"/>
        <v>767563.84580605861</v>
      </c>
      <c r="DG54">
        <f t="shared" si="76"/>
        <v>1173262.3266102928</v>
      </c>
      <c r="DH54">
        <f t="shared" si="77"/>
        <v>958561.01958717732</v>
      </c>
      <c r="DI54">
        <f t="shared" si="78"/>
        <v>785780.69983821083</v>
      </c>
    </row>
    <row r="55" spans="1:113" x14ac:dyDescent="0.3">
      <c r="A55" s="1">
        <v>45650</v>
      </c>
      <c r="B55">
        <v>52</v>
      </c>
      <c r="C55">
        <v>0</v>
      </c>
      <c r="D55">
        <v>0.495145631067961</v>
      </c>
      <c r="E55" s="2">
        <v>6.4324905987065405E-16</v>
      </c>
      <c r="F55">
        <v>1</v>
      </c>
      <c r="G55">
        <v>1.01644287744753</v>
      </c>
      <c r="H55">
        <v>0.983485306413032</v>
      </c>
      <c r="I55">
        <v>0.84052288657649399</v>
      </c>
      <c r="J55">
        <v>4.9135346959365597E-2</v>
      </c>
      <c r="K55">
        <v>7.5969790227808804</v>
      </c>
      <c r="L55">
        <v>0.99651681653948898</v>
      </c>
      <c r="M55">
        <v>3.8242361713116702</v>
      </c>
      <c r="N55">
        <v>3.0867193433537201</v>
      </c>
      <c r="O55">
        <v>2.66842858315011</v>
      </c>
      <c r="P55">
        <v>2.2136544710723398</v>
      </c>
      <c r="Q55">
        <v>0.98380241384622702</v>
      </c>
      <c r="R55">
        <v>0.25325127096966199</v>
      </c>
      <c r="S55">
        <v>0.455892729832441</v>
      </c>
      <c r="T55">
        <v>2.6081155785623902</v>
      </c>
      <c r="U55">
        <v>12</v>
      </c>
      <c r="V55">
        <v>144</v>
      </c>
      <c r="W55">
        <v>2004</v>
      </c>
      <c r="X55">
        <v>9147.9858970278292</v>
      </c>
      <c r="Y55">
        <f t="shared" si="8"/>
        <v>18332563.737643771</v>
      </c>
      <c r="Z55">
        <f t="shared" si="70"/>
        <v>13.727277299549048</v>
      </c>
      <c r="AA55">
        <f t="shared" si="80"/>
        <v>7.1346731596323396</v>
      </c>
      <c r="AB55">
        <f t="shared" si="81"/>
        <v>4.9092280656446086</v>
      </c>
      <c r="AC55">
        <f t="shared" si="82"/>
        <v>3.7447157497537602</v>
      </c>
      <c r="AD55">
        <f t="shared" si="83"/>
        <v>2.1063065051279204</v>
      </c>
      <c r="AE55">
        <f t="shared" si="84"/>
        <v>2.4566904776995839</v>
      </c>
      <c r="AF55">
        <f t="shared" si="85"/>
        <v>4.6214128766724878</v>
      </c>
      <c r="AG55">
        <f t="shared" si="86"/>
        <v>5.3115028808037916</v>
      </c>
      <c r="AH55">
        <f t="shared" si="87"/>
        <v>14.752361412031716</v>
      </c>
      <c r="AI55">
        <f t="shared" si="89"/>
        <v>6.9687240579263854</v>
      </c>
      <c r="AJ55">
        <f t="shared" si="89"/>
        <v>4.6296050148216619</v>
      </c>
      <c r="AK55">
        <f t="shared" si="89"/>
        <v>3.6948385064954095</v>
      </c>
      <c r="AL55">
        <f t="shared" si="89"/>
        <v>2.5944664113759068</v>
      </c>
      <c r="AM55">
        <f t="shared" si="89"/>
        <v>2.3895751703221002</v>
      </c>
      <c r="AN55">
        <f t="shared" si="89"/>
        <v>6.5870344778956778</v>
      </c>
      <c r="AO55">
        <f t="shared" si="89"/>
        <v>3.6424813908642166</v>
      </c>
      <c r="AP55">
        <f t="shared" si="10"/>
        <v>0.47122452503806467</v>
      </c>
      <c r="AQ55">
        <f t="shared" si="11"/>
        <v>0.50823625846141862</v>
      </c>
      <c r="AR55">
        <f t="shared" si="12"/>
        <v>0.51978240888790839</v>
      </c>
      <c r="AS55">
        <f t="shared" si="13"/>
        <v>0.50419017231974383</v>
      </c>
      <c r="AT55">
        <f t="shared" si="14"/>
        <v>0.4352269955819838</v>
      </c>
      <c r="AU55">
        <f t="shared" si="15"/>
        <v>0.51038582320500381</v>
      </c>
      <c r="AV55">
        <f t="shared" si="16"/>
        <v>0.37014282279762722</v>
      </c>
      <c r="AW55">
        <f t="shared" si="17"/>
        <v>0.62462666842178083</v>
      </c>
      <c r="BC55">
        <f t="shared" si="18"/>
        <v>85.802013832916984</v>
      </c>
      <c r="BD55">
        <f t="shared" si="19"/>
        <v>63.240390093167271</v>
      </c>
      <c r="BE55">
        <f t="shared" si="20"/>
        <v>56.719072803558085</v>
      </c>
      <c r="BF55">
        <f t="shared" si="21"/>
        <v>36.438839696745106</v>
      </c>
      <c r="BG55">
        <f t="shared" si="22"/>
        <v>10.177834213243175</v>
      </c>
      <c r="BH55">
        <f t="shared" si="23"/>
        <v>62.529329634335241</v>
      </c>
      <c r="BI55">
        <f t="shared" si="24"/>
        <v>34.186628375138262</v>
      </c>
      <c r="BJ55">
        <f t="shared" si="25"/>
        <v>62.724321704326627</v>
      </c>
      <c r="BK55">
        <f t="shared" si="26"/>
        <v>3.6593071839705047</v>
      </c>
      <c r="BL55">
        <f t="shared" si="27"/>
        <v>-1.735602744036479</v>
      </c>
      <c r="BM55">
        <f t="shared" si="28"/>
        <v>16.361974891801939</v>
      </c>
      <c r="BN55">
        <f t="shared" si="29"/>
        <v>0.14841469128047866</v>
      </c>
      <c r="BO55">
        <f t="shared" si="30"/>
        <v>3.139496037774803E-15</v>
      </c>
      <c r="BP55">
        <f t="shared" si="31"/>
        <v>-25.190695000000002</v>
      </c>
      <c r="BQ55">
        <f t="shared" si="32"/>
        <v>0</v>
      </c>
      <c r="BR55">
        <f t="shared" si="33"/>
        <v>62.416754533980559</v>
      </c>
      <c r="BS55">
        <f t="shared" si="34"/>
        <v>0.74212608979839578</v>
      </c>
      <c r="BT55">
        <f t="shared" si="35"/>
        <v>-1.0236051331634819</v>
      </c>
      <c r="BU55">
        <f t="shared" si="36"/>
        <v>159.87744000000001</v>
      </c>
      <c r="BV55">
        <f t="shared" si="37"/>
        <v>-51.965387999999997</v>
      </c>
      <c r="BW55">
        <f t="shared" si="38"/>
        <v>411.8184303534307</v>
      </c>
      <c r="BX55">
        <f t="shared" si="39"/>
        <v>1563.5399725898619</v>
      </c>
      <c r="BY55">
        <f t="shared" si="40"/>
        <v>2004</v>
      </c>
      <c r="BZ55">
        <v>1975.3584011806399</v>
      </c>
      <c r="CD55">
        <v>2014.86603110022</v>
      </c>
      <c r="CG55">
        <f t="shared" si="41"/>
        <v>240.70575432751764</v>
      </c>
      <c r="CH55">
        <f t="shared" si="42"/>
        <v>185.10034161532275</v>
      </c>
      <c r="CI55">
        <f t="shared" si="43"/>
        <v>139.445584742948</v>
      </c>
      <c r="CJ55">
        <f t="shared" si="44"/>
        <v>150.04617093142403</v>
      </c>
      <c r="CK55">
        <f t="shared" si="45"/>
        <v>64.654862995907479</v>
      </c>
      <c r="CL55">
        <f t="shared" si="46"/>
        <v>91.766628911272733</v>
      </c>
      <c r="CM55">
        <f t="shared" si="47"/>
        <v>84.110830128572246</v>
      </c>
      <c r="CN55">
        <f t="shared" si="48"/>
        <v>89.62137129786359</v>
      </c>
      <c r="CO55">
        <f t="shared" si="49"/>
        <v>600.3137533169629</v>
      </c>
      <c r="CP55">
        <f t="shared" si="50"/>
        <v>406.96621389280085</v>
      </c>
      <c r="CQ55">
        <f t="shared" si="51"/>
        <v>141.88733709472561</v>
      </c>
      <c r="CR55">
        <f t="shared" si="52"/>
        <v>21.559899894144845</v>
      </c>
      <c r="CS55">
        <f t="shared" si="53"/>
        <v>3.93661953555298E-14</v>
      </c>
      <c r="CT55">
        <f t="shared" si="54"/>
        <v>40.543466000000002</v>
      </c>
      <c r="CU55">
        <f t="shared" si="55"/>
        <v>0</v>
      </c>
      <c r="CV55">
        <f t="shared" si="56"/>
        <v>41.667886310679599</v>
      </c>
      <c r="CW55">
        <f t="shared" si="57"/>
        <v>-0.3072674135553955</v>
      </c>
      <c r="CX55">
        <f t="shared" si="58"/>
        <v>-500.26948184675325</v>
      </c>
      <c r="CY55">
        <f t="shared" si="59"/>
        <v>6.3473759999999997</v>
      </c>
      <c r="CZ55">
        <f t="shared" si="60"/>
        <v>4.9468319999999997</v>
      </c>
      <c r="DA55">
        <v>9147.9858970278292</v>
      </c>
      <c r="DB55">
        <f t="shared" si="71"/>
        <v>2201972.845921577</v>
      </c>
      <c r="DC55">
        <f t="shared" si="72"/>
        <v>1693295.314632006</v>
      </c>
      <c r="DD55">
        <f t="shared" si="73"/>
        <v>1275646.2426312873</v>
      </c>
      <c r="DE55">
        <f t="shared" si="74"/>
        <v>1372620.255583694</v>
      </c>
      <c r="DF55">
        <f t="shared" si="75"/>
        <v>591461.77486082807</v>
      </c>
      <c r="DG55">
        <f t="shared" si="76"/>
        <v>839479.82709810918</v>
      </c>
      <c r="DH55">
        <f t="shared" si="77"/>
        <v>769444.68780348229</v>
      </c>
      <c r="DI55">
        <f t="shared" si="78"/>
        <v>819855.04070515081</v>
      </c>
    </row>
    <row r="56" spans="1:113" x14ac:dyDescent="0.3">
      <c r="A56" s="1">
        <v>45657</v>
      </c>
      <c r="B56">
        <v>1</v>
      </c>
      <c r="C56">
        <v>0</v>
      </c>
      <c r="D56">
        <v>0.50485436893203794</v>
      </c>
      <c r="E56">
        <v>0.12053668025532301</v>
      </c>
      <c r="F56">
        <v>0.99270887409805397</v>
      </c>
      <c r="G56">
        <v>1.01207140998797</v>
      </c>
      <c r="H56">
        <v>0.983876129977451</v>
      </c>
      <c r="I56">
        <v>0.85334641790005905</v>
      </c>
      <c r="J56">
        <v>7.7350807129793503E-2</v>
      </c>
      <c r="K56">
        <v>23.021935677880801</v>
      </c>
      <c r="L56">
        <v>0.99945754344066395</v>
      </c>
      <c r="M56">
        <v>6.2576030460373797</v>
      </c>
      <c r="N56">
        <v>2.33099018524186</v>
      </c>
      <c r="O56">
        <v>2.3807814464909498</v>
      </c>
      <c r="P56">
        <v>2.8840108244488798</v>
      </c>
      <c r="Q56">
        <v>0.71371373129615001</v>
      </c>
      <c r="R56">
        <v>1.0456971818479599</v>
      </c>
      <c r="S56">
        <v>1.1954100507610801</v>
      </c>
      <c r="T56">
        <v>1.76337839377122</v>
      </c>
      <c r="U56">
        <v>13</v>
      </c>
      <c r="V56">
        <v>124</v>
      </c>
      <c r="W56">
        <v>2058</v>
      </c>
      <c r="X56">
        <v>9108.6426898917307</v>
      </c>
      <c r="Y56">
        <f t="shared" si="8"/>
        <v>18745586.655797184</v>
      </c>
      <c r="Z56">
        <f t="shared" si="70"/>
        <v>14.493969425766808</v>
      </c>
      <c r="AA56">
        <f t="shared" si="80"/>
        <v>5.8983267650580302</v>
      </c>
      <c r="AB56">
        <f t="shared" si="81"/>
        <v>4.5899340760310237</v>
      </c>
      <c r="AC56">
        <f t="shared" si="82"/>
        <v>4.0074255493750073</v>
      </c>
      <c r="AD56">
        <f t="shared" si="83"/>
        <v>1.4509210080909221</v>
      </c>
      <c r="AE56">
        <f t="shared" si="84"/>
        <v>2.2740424206977519</v>
      </c>
      <c r="AF56">
        <f t="shared" si="85"/>
        <v>4.4303990644318212</v>
      </c>
      <c r="AG56">
        <f t="shared" si="86"/>
        <v>4.6847049782133059</v>
      </c>
      <c r="AH56">
        <f t="shared" si="87"/>
        <v>14.752361412031716</v>
      </c>
      <c r="AI56">
        <f t="shared" si="89"/>
        <v>6.9687240579263854</v>
      </c>
      <c r="AJ56">
        <f t="shared" si="89"/>
        <v>4.6296050148216619</v>
      </c>
      <c r="AK56">
        <f t="shared" si="89"/>
        <v>3.6948385064954095</v>
      </c>
      <c r="AL56">
        <f t="shared" si="89"/>
        <v>2.5944664113759068</v>
      </c>
      <c r="AM56">
        <f t="shared" si="89"/>
        <v>2.3895751703221002</v>
      </c>
      <c r="AN56">
        <f t="shared" si="89"/>
        <v>6.5870344778956778</v>
      </c>
      <c r="AO56">
        <f t="shared" si="89"/>
        <v>3.6424813908642166</v>
      </c>
      <c r="AP56">
        <f t="shared" si="10"/>
        <v>0.49293226901045351</v>
      </c>
      <c r="AQ56">
        <f t="shared" si="11"/>
        <v>0.44189648249541824</v>
      </c>
      <c r="AR56">
        <f t="shared" si="12"/>
        <v>0.49709554376965454</v>
      </c>
      <c r="AS56">
        <f t="shared" si="13"/>
        <v>0.52535703392110944</v>
      </c>
      <c r="AT56">
        <f t="shared" si="14"/>
        <v>0.32596809764154716</v>
      </c>
      <c r="AU56">
        <f t="shared" si="15"/>
        <v>0.48142484730555918</v>
      </c>
      <c r="AV56">
        <f t="shared" si="16"/>
        <v>0.35550669048877337</v>
      </c>
      <c r="AW56">
        <f t="shared" si="17"/>
        <v>0.58412032432306615</v>
      </c>
      <c r="BC56">
        <f t="shared" si="18"/>
        <v>89.754626758676466</v>
      </c>
      <c r="BD56">
        <f t="shared" si="19"/>
        <v>54.985659658381365</v>
      </c>
      <c r="BE56">
        <f t="shared" si="20"/>
        <v>54.243463909675263</v>
      </c>
      <c r="BF56">
        <f t="shared" si="21"/>
        <v>37.968611435901927</v>
      </c>
      <c r="BG56">
        <f t="shared" si="22"/>
        <v>7.6228021016150045</v>
      </c>
      <c r="BH56">
        <f t="shared" si="23"/>
        <v>58.981209121941944</v>
      </c>
      <c r="BI56">
        <f t="shared" si="24"/>
        <v>32.834825813331712</v>
      </c>
      <c r="BJ56">
        <f t="shared" si="25"/>
        <v>58.656719267924899</v>
      </c>
      <c r="BK56">
        <f t="shared" si="26"/>
        <v>3.6435694158832006</v>
      </c>
      <c r="BL56">
        <f t="shared" si="27"/>
        <v>-1.7362924487493168</v>
      </c>
      <c r="BM56">
        <f t="shared" si="28"/>
        <v>16.611603189723738</v>
      </c>
      <c r="BN56">
        <f t="shared" si="29"/>
        <v>0.23364027875814092</v>
      </c>
      <c r="BO56">
        <f t="shared" si="30"/>
        <v>0.58830156727195115</v>
      </c>
      <c r="BP56">
        <f t="shared" si="31"/>
        <v>-25.007026471197481</v>
      </c>
      <c r="BQ56">
        <f t="shared" si="32"/>
        <v>0</v>
      </c>
      <c r="BR56">
        <f t="shared" si="33"/>
        <v>63.640612466019306</v>
      </c>
      <c r="BS56">
        <f t="shared" si="34"/>
        <v>2.2489438305651417</v>
      </c>
      <c r="BT56">
        <f t="shared" si="35"/>
        <v>-1.0266257978440114</v>
      </c>
      <c r="BU56">
        <f t="shared" si="36"/>
        <v>137.67224000000002</v>
      </c>
      <c r="BV56">
        <f t="shared" si="37"/>
        <v>-56.295836999999999</v>
      </c>
      <c r="BW56">
        <f t="shared" si="38"/>
        <v>395.04791806744856</v>
      </c>
      <c r="BX56">
        <f t="shared" si="39"/>
        <v>1540.8223751066607</v>
      </c>
      <c r="BY56">
        <f t="shared" si="40"/>
        <v>2058</v>
      </c>
      <c r="BZ56">
        <v>1935.8702879402199</v>
      </c>
      <c r="CD56">
        <v>1988.88439827619</v>
      </c>
      <c r="CG56">
        <f t="shared" si="41"/>
        <v>251.79426651223554</v>
      </c>
      <c r="CH56">
        <f t="shared" si="42"/>
        <v>160.93930432301235</v>
      </c>
      <c r="CI56">
        <f t="shared" si="43"/>
        <v>133.35922414608231</v>
      </c>
      <c r="CJ56">
        <f t="shared" si="44"/>
        <v>156.34539433617172</v>
      </c>
      <c r="CK56">
        <f t="shared" si="45"/>
        <v>48.423978539908475</v>
      </c>
      <c r="CL56">
        <f t="shared" si="46"/>
        <v>86.55948755381155</v>
      </c>
      <c r="CM56">
        <f t="shared" si="47"/>
        <v>80.784932224988182</v>
      </c>
      <c r="CN56">
        <f t="shared" si="48"/>
        <v>83.809525137720769</v>
      </c>
      <c r="CO56">
        <f t="shared" si="49"/>
        <v>597.73195349684761</v>
      </c>
      <c r="CP56">
        <f t="shared" si="50"/>
        <v>407.12793668141245</v>
      </c>
      <c r="CQ56">
        <f t="shared" si="51"/>
        <v>144.05205710498302</v>
      </c>
      <c r="CR56">
        <f t="shared" si="52"/>
        <v>33.940447389713214</v>
      </c>
      <c r="CS56">
        <f t="shared" si="53"/>
        <v>7.3767235717254307</v>
      </c>
      <c r="CT56">
        <f t="shared" si="54"/>
        <v>40.247858484892731</v>
      </c>
      <c r="CU56">
        <f t="shared" si="55"/>
        <v>0</v>
      </c>
      <c r="CV56">
        <f t="shared" si="56"/>
        <v>42.484903689320312</v>
      </c>
      <c r="CW56">
        <f t="shared" si="57"/>
        <v>-0.93114521042756693</v>
      </c>
      <c r="CX56">
        <f t="shared" si="58"/>
        <v>-501.74577998712221</v>
      </c>
      <c r="CY56">
        <f t="shared" si="59"/>
        <v>5.4657960000000001</v>
      </c>
      <c r="CZ56">
        <f t="shared" si="60"/>
        <v>5.3590679999999997</v>
      </c>
      <c r="DA56">
        <v>9108.6426898917307</v>
      </c>
      <c r="DB56">
        <f t="shared" si="71"/>
        <v>2293504.0050233244</v>
      </c>
      <c r="DC56">
        <f t="shared" si="72"/>
        <v>1465938.617838067</v>
      </c>
      <c r="DD56">
        <f t="shared" si="73"/>
        <v>1214721.5221478455</v>
      </c>
      <c r="DE56">
        <f t="shared" si="74"/>
        <v>1424094.3332184106</v>
      </c>
      <c r="DF56">
        <f t="shared" si="75"/>
        <v>441076.71814301139</v>
      </c>
      <c r="DG56">
        <f t="shared" si="76"/>
        <v>788439.44354779983</v>
      </c>
      <c r="DH56">
        <f t="shared" si="77"/>
        <v>735841.08236453752</v>
      </c>
      <c r="DI56">
        <f t="shared" si="78"/>
        <v>763391.01848899748</v>
      </c>
    </row>
    <row r="57" spans="1:113" x14ac:dyDescent="0.3">
      <c r="A57" s="1">
        <v>45664</v>
      </c>
      <c r="B57">
        <v>2</v>
      </c>
      <c r="C57">
        <v>0</v>
      </c>
      <c r="D57">
        <v>0.51456310679611605</v>
      </c>
      <c r="E57">
        <v>0.23931566428755699</v>
      </c>
      <c r="F57">
        <v>0.97094181742605201</v>
      </c>
      <c r="G57">
        <v>1.0111123963388899</v>
      </c>
      <c r="H57">
        <v>0.98682434851052003</v>
      </c>
      <c r="I57">
        <v>0.85452059111932699</v>
      </c>
      <c r="J57">
        <v>5.39840488027271E-2</v>
      </c>
      <c r="K57">
        <v>6.1142554532580498</v>
      </c>
      <c r="L57">
        <v>0.99761554361942995</v>
      </c>
      <c r="M57">
        <v>5.4115325397484497</v>
      </c>
      <c r="N57">
        <v>2.7709007814160298</v>
      </c>
      <c r="O57">
        <v>2.1392356016963698</v>
      </c>
      <c r="P57">
        <v>4.6381343286801897</v>
      </c>
      <c r="Q57">
        <v>1.08901536891581</v>
      </c>
      <c r="R57">
        <v>0.85175222878166801</v>
      </c>
      <c r="S57">
        <v>1.40175885063735</v>
      </c>
      <c r="T57">
        <v>2.6226886845937898</v>
      </c>
      <c r="U57">
        <v>7</v>
      </c>
      <c r="V57">
        <v>119</v>
      </c>
      <c r="W57">
        <v>1961</v>
      </c>
      <c r="X57">
        <v>9100.01156705008</v>
      </c>
      <c r="Y57">
        <f t="shared" si="8"/>
        <v>17845122.682985205</v>
      </c>
      <c r="Z57">
        <f t="shared" si="70"/>
        <v>14.107914195208535</v>
      </c>
      <c r="AA57">
        <f t="shared" si="80"/>
        <v>5.7200641639450449</v>
      </c>
      <c r="AB57">
        <f t="shared" si="81"/>
        <v>4.2047059359103311</v>
      </c>
      <c r="AC57">
        <f t="shared" si="82"/>
        <v>5.8403619934926922</v>
      </c>
      <c r="AD57">
        <f t="shared" si="83"/>
        <v>1.5968377217476326</v>
      </c>
      <c r="AE57">
        <f t="shared" si="84"/>
        <v>1.9887734391305441</v>
      </c>
      <c r="AF57">
        <f t="shared" si="85"/>
        <v>4.5030381957396246</v>
      </c>
      <c r="AG57">
        <f t="shared" si="86"/>
        <v>5.1992764226111081</v>
      </c>
      <c r="AH57">
        <f t="shared" si="87"/>
        <v>14.752361412031716</v>
      </c>
      <c r="AI57">
        <f t="shared" si="89"/>
        <v>6.9687240579263854</v>
      </c>
      <c r="AJ57">
        <f t="shared" si="89"/>
        <v>4.6296050148216619</v>
      </c>
      <c r="AK57">
        <f t="shared" si="89"/>
        <v>3.6948385064954095</v>
      </c>
      <c r="AL57">
        <f t="shared" si="89"/>
        <v>2.5944664113759068</v>
      </c>
      <c r="AM57">
        <f t="shared" si="89"/>
        <v>2.3895751703221002</v>
      </c>
      <c r="AN57">
        <f t="shared" si="89"/>
        <v>6.5870344778956778</v>
      </c>
      <c r="AO57">
        <f t="shared" si="89"/>
        <v>3.6424813908642166</v>
      </c>
      <c r="AP57">
        <f t="shared" si="10"/>
        <v>0.48214070674789644</v>
      </c>
      <c r="AQ57">
        <f t="shared" si="11"/>
        <v>0.43132849643948051</v>
      </c>
      <c r="AR57">
        <f t="shared" si="12"/>
        <v>0.46755547376027617</v>
      </c>
      <c r="AS57">
        <f t="shared" si="13"/>
        <v>0.63929831109539992</v>
      </c>
      <c r="AT57">
        <f t="shared" si="14"/>
        <v>0.35281358852834427</v>
      </c>
      <c r="AU57">
        <f t="shared" si="15"/>
        <v>0.4315828022695079</v>
      </c>
      <c r="AV57">
        <f t="shared" si="16"/>
        <v>0.36111537418059841</v>
      </c>
      <c r="AW57">
        <f t="shared" si="17"/>
        <v>0.61784311001997927</v>
      </c>
      <c r="BC57">
        <f t="shared" si="18"/>
        <v>87.789665842315173</v>
      </c>
      <c r="BD57">
        <f t="shared" si="19"/>
        <v>53.670673666040194</v>
      </c>
      <c r="BE57">
        <f t="shared" si="20"/>
        <v>51.020027808655819</v>
      </c>
      <c r="BF57">
        <f t="shared" si="21"/>
        <v>46.203377128961407</v>
      </c>
      <c r="BG57">
        <f t="shared" si="22"/>
        <v>8.2505870469251885</v>
      </c>
      <c r="BH57">
        <f t="shared" si="23"/>
        <v>52.874868541912143</v>
      </c>
      <c r="BI57">
        <f t="shared" si="24"/>
        <v>33.352847434274921</v>
      </c>
      <c r="BJ57">
        <f t="shared" si="25"/>
        <v>62.043124245099072</v>
      </c>
      <c r="BK57">
        <f t="shared" si="26"/>
        <v>3.6401168602959975</v>
      </c>
      <c r="BL57">
        <f t="shared" si="27"/>
        <v>-1.7414953085608949</v>
      </c>
      <c r="BM57">
        <f t="shared" si="28"/>
        <v>16.634460143459453</v>
      </c>
      <c r="BN57">
        <f t="shared" si="29"/>
        <v>0.16306033096200367</v>
      </c>
      <c r="BO57">
        <f t="shared" si="30"/>
        <v>1.1680243729533151</v>
      </c>
      <c r="BP57">
        <f t="shared" si="31"/>
        <v>-24.458699185525361</v>
      </c>
      <c r="BQ57">
        <f t="shared" si="32"/>
        <v>0</v>
      </c>
      <c r="BR57">
        <f t="shared" si="33"/>
        <v>64.864470398058202</v>
      </c>
      <c r="BS57">
        <f t="shared" si="34"/>
        <v>0.59728327246241908</v>
      </c>
      <c r="BT57">
        <f t="shared" si="35"/>
        <v>-1.0247337269416368</v>
      </c>
      <c r="BU57">
        <f t="shared" si="36"/>
        <v>132.12093999999999</v>
      </c>
      <c r="BV57">
        <f t="shared" si="37"/>
        <v>-30.313142999999997</v>
      </c>
      <c r="BW57">
        <f t="shared" si="38"/>
        <v>395.2051717141839</v>
      </c>
      <c r="BX57">
        <f t="shared" si="39"/>
        <v>1561.8995302333935</v>
      </c>
      <c r="BY57">
        <f t="shared" si="40"/>
        <v>1961</v>
      </c>
      <c r="BZ57">
        <v>1957.10470104362</v>
      </c>
      <c r="CD57">
        <v>2003.36364613978</v>
      </c>
      <c r="CG57">
        <f t="shared" si="41"/>
        <v>246.28183879092509</v>
      </c>
      <c r="CH57">
        <f t="shared" si="42"/>
        <v>157.09042932329893</v>
      </c>
      <c r="CI57">
        <f t="shared" si="43"/>
        <v>125.43430736288717</v>
      </c>
      <c r="CJ57">
        <f t="shared" si="44"/>
        <v>190.25413212925238</v>
      </c>
      <c r="CK57">
        <f t="shared" si="45"/>
        <v>52.411992962182055</v>
      </c>
      <c r="CL57">
        <f t="shared" si="46"/>
        <v>77.597960326663014</v>
      </c>
      <c r="CM57">
        <f t="shared" si="47"/>
        <v>82.059443068349623</v>
      </c>
      <c r="CN57">
        <f t="shared" si="48"/>
        <v>88.64806702351251</v>
      </c>
      <c r="CO57">
        <f t="shared" si="49"/>
        <v>597.16555759213418</v>
      </c>
      <c r="CP57">
        <f t="shared" si="50"/>
        <v>408.34790949270712</v>
      </c>
      <c r="CQ57">
        <f t="shared" si="51"/>
        <v>144.25026742623726</v>
      </c>
      <c r="CR57">
        <f t="shared" si="52"/>
        <v>23.687442138750974</v>
      </c>
      <c r="CS57">
        <f t="shared" si="53"/>
        <v>14.645877902840214</v>
      </c>
      <c r="CT57">
        <f t="shared" si="54"/>
        <v>39.365346562791352</v>
      </c>
      <c r="CU57">
        <f t="shared" si="55"/>
        <v>0</v>
      </c>
      <c r="CV57">
        <f t="shared" si="56"/>
        <v>43.301921067961125</v>
      </c>
      <c r="CW57">
        <f t="shared" si="57"/>
        <v>-0.24729717606247509</v>
      </c>
      <c r="CX57">
        <f t="shared" si="58"/>
        <v>-500.82106273113999</v>
      </c>
      <c r="CY57">
        <f t="shared" si="59"/>
        <v>5.2454010000000002</v>
      </c>
      <c r="CZ57">
        <f t="shared" si="60"/>
        <v>2.8856519999999999</v>
      </c>
      <c r="DA57">
        <v>9100.01156705008</v>
      </c>
      <c r="DB57">
        <f t="shared" si="71"/>
        <v>2241167.5817517815</v>
      </c>
      <c r="DC57">
        <f t="shared" si="72"/>
        <v>1429524.7239148833</v>
      </c>
      <c r="DD57">
        <f t="shared" si="73"/>
        <v>1141453.6479071882</v>
      </c>
      <c r="DE57">
        <f t="shared" si="74"/>
        <v>1731314.803055271</v>
      </c>
      <c r="DF57">
        <f t="shared" si="75"/>
        <v>476949.74220800406</v>
      </c>
      <c r="DG57">
        <f t="shared" si="76"/>
        <v>706142.33655212668</v>
      </c>
      <c r="DH57">
        <f t="shared" si="77"/>
        <v>746741.88110766909</v>
      </c>
      <c r="DI57">
        <f t="shared" si="78"/>
        <v>806698.43531059462</v>
      </c>
    </row>
    <row r="58" spans="1:113" x14ac:dyDescent="0.3">
      <c r="A58" s="1">
        <v>45671</v>
      </c>
      <c r="B58">
        <v>3</v>
      </c>
      <c r="C58">
        <v>0</v>
      </c>
      <c r="D58">
        <v>0.52427184466019405</v>
      </c>
      <c r="E58">
        <v>0.35460488704253501</v>
      </c>
      <c r="F58">
        <v>0.93501624268541395</v>
      </c>
      <c r="G58">
        <v>1.00970127837602</v>
      </c>
      <c r="H58">
        <v>0.98532646171490201</v>
      </c>
      <c r="I58">
        <v>0.86096247559529104</v>
      </c>
      <c r="J58">
        <v>7.3143503404065696E-2</v>
      </c>
      <c r="K58">
        <v>3.7908337315312401</v>
      </c>
      <c r="L58">
        <v>0.99622574395269403</v>
      </c>
      <c r="M58">
        <v>5.8596161272768201</v>
      </c>
      <c r="N58">
        <v>2.0849578381849598</v>
      </c>
      <c r="O58">
        <v>8.7300823582760003</v>
      </c>
      <c r="P58">
        <v>6.1794425849688004</v>
      </c>
      <c r="Q58">
        <v>0.49800989840159698</v>
      </c>
      <c r="R58">
        <v>2.1149322588113102</v>
      </c>
      <c r="S58">
        <v>1.10606690994413</v>
      </c>
      <c r="T58">
        <v>0.97016220079255799</v>
      </c>
      <c r="U58">
        <v>10</v>
      </c>
      <c r="V58">
        <v>124</v>
      </c>
      <c r="W58">
        <v>2071</v>
      </c>
      <c r="X58">
        <v>9087.3115053841793</v>
      </c>
      <c r="Y58">
        <f t="shared" si="8"/>
        <v>18819822.127650637</v>
      </c>
      <c r="Z58">
        <f t="shared" si="70"/>
        <v>14.324364644401939</v>
      </c>
      <c r="AA58">
        <f t="shared" si="80"/>
        <v>4.9449899201574823</v>
      </c>
      <c r="AB58">
        <f t="shared" si="81"/>
        <v>10.62220002943565</v>
      </c>
      <c r="AC58">
        <f t="shared" si="82"/>
        <v>7.9315511830166079</v>
      </c>
      <c r="AD58">
        <f t="shared" si="83"/>
        <v>1.0569031010132683</v>
      </c>
      <c r="AE58">
        <f t="shared" si="84"/>
        <v>3.1093189783765824</v>
      </c>
      <c r="AF58">
        <f t="shared" si="85"/>
        <v>4.2581936469618675</v>
      </c>
      <c r="AG58">
        <f t="shared" si="86"/>
        <v>3.8297642332286674</v>
      </c>
      <c r="AH58">
        <f t="shared" si="87"/>
        <v>14.752361412031716</v>
      </c>
      <c r="AI58">
        <f t="shared" si="89"/>
        <v>6.9687240579263854</v>
      </c>
      <c r="AJ58">
        <f t="shared" si="89"/>
        <v>4.6296050148216619</v>
      </c>
      <c r="AK58">
        <f t="shared" si="89"/>
        <v>3.6948385064954095</v>
      </c>
      <c r="AL58">
        <f t="shared" si="89"/>
        <v>2.5944664113759068</v>
      </c>
      <c r="AM58">
        <f t="shared" si="89"/>
        <v>2.3895751703221002</v>
      </c>
      <c r="AN58">
        <f t="shared" si="89"/>
        <v>6.5870344778956778</v>
      </c>
      <c r="AO58">
        <f t="shared" si="89"/>
        <v>3.6424813908642166</v>
      </c>
      <c r="AP58">
        <f t="shared" si="10"/>
        <v>0.48822567436247621</v>
      </c>
      <c r="AQ58">
        <f t="shared" si="11"/>
        <v>0.38218598420482258</v>
      </c>
      <c r="AR58">
        <f t="shared" si="12"/>
        <v>0.75420024487079906</v>
      </c>
      <c r="AS58">
        <f t="shared" si="13"/>
        <v>0.72209747682885805</v>
      </c>
      <c r="AT58">
        <f t="shared" si="14"/>
        <v>0.24553909025774123</v>
      </c>
      <c r="AU58">
        <f t="shared" si="15"/>
        <v>0.59746945779093363</v>
      </c>
      <c r="AV58">
        <f t="shared" si="16"/>
        <v>0.34200155143993377</v>
      </c>
      <c r="AW58">
        <f t="shared" si="17"/>
        <v>0.51691514895616941</v>
      </c>
      <c r="BC58">
        <f t="shared" si="18"/>
        <v>88.897635499448043</v>
      </c>
      <c r="BD58">
        <f t="shared" si="19"/>
        <v>47.55581745077091</v>
      </c>
      <c r="BE58">
        <f t="shared" si="20"/>
        <v>82.298934834697732</v>
      </c>
      <c r="BF58">
        <f t="shared" si="21"/>
        <v>52.187439676837378</v>
      </c>
      <c r="BG58">
        <f t="shared" si="22"/>
        <v>5.741960353750839</v>
      </c>
      <c r="BH58">
        <f t="shared" si="23"/>
        <v>73.198280544032485</v>
      </c>
      <c r="BI58">
        <f t="shared" si="24"/>
        <v>31.587482513986757</v>
      </c>
      <c r="BJ58">
        <f t="shared" si="25"/>
        <v>51.908049617684384</v>
      </c>
      <c r="BK58">
        <f t="shared" si="26"/>
        <v>3.6350366789955717</v>
      </c>
      <c r="BL58">
        <f t="shared" si="27"/>
        <v>-1.7388519173319883</v>
      </c>
      <c r="BM58">
        <f t="shared" si="28"/>
        <v>16.759860598027586</v>
      </c>
      <c r="BN58">
        <f t="shared" si="29"/>
        <v>0.22093200005007577</v>
      </c>
      <c r="BO58">
        <f t="shared" si="30"/>
        <v>1.730714753115195</v>
      </c>
      <c r="BP58">
        <f t="shared" si="31"/>
        <v>-23.553708989534247</v>
      </c>
      <c r="BQ58">
        <f t="shared" si="32"/>
        <v>0</v>
      </c>
      <c r="BR58">
        <f t="shared" si="33"/>
        <v>66.08832833009707</v>
      </c>
      <c r="BS58">
        <f t="shared" si="34"/>
        <v>0.37031517473209224</v>
      </c>
      <c r="BT58">
        <f t="shared" si="35"/>
        <v>-1.0233061483505601</v>
      </c>
      <c r="BU58">
        <f t="shared" si="36"/>
        <v>137.67224000000002</v>
      </c>
      <c r="BV58">
        <f t="shared" si="37"/>
        <v>-43.304490000000001</v>
      </c>
      <c r="BW58">
        <f t="shared" si="38"/>
        <v>433.37560049120839</v>
      </c>
      <c r="BX58">
        <f t="shared" si="39"/>
        <v>1557.1063165560308</v>
      </c>
      <c r="BY58">
        <f t="shared" si="40"/>
        <v>2071</v>
      </c>
      <c r="BZ58">
        <v>1990.4819160879199</v>
      </c>
      <c r="CD58">
        <v>2101.8866789679901</v>
      </c>
      <c r="CG58">
        <f t="shared" si="41"/>
        <v>249.3900953478342</v>
      </c>
      <c r="CH58">
        <f t="shared" si="42"/>
        <v>139.19265904219475</v>
      </c>
      <c r="CI58">
        <f t="shared" si="43"/>
        <v>202.3344621921654</v>
      </c>
      <c r="CJ58">
        <f t="shared" si="44"/>
        <v>214.89502847489354</v>
      </c>
      <c r="CK58">
        <f t="shared" si="45"/>
        <v>36.475899707290992</v>
      </c>
      <c r="CL58">
        <f t="shared" si="46"/>
        <v>107.42413979021823</v>
      </c>
      <c r="CM58">
        <f t="shared" si="47"/>
        <v>77.716039931429506</v>
      </c>
      <c r="CN58">
        <f t="shared" si="48"/>
        <v>74.166933363801135</v>
      </c>
      <c r="CO58">
        <f t="shared" si="49"/>
        <v>596.33214772773465</v>
      </c>
      <c r="CP58">
        <f t="shared" si="50"/>
        <v>407.72808394566772</v>
      </c>
      <c r="CQ58">
        <f t="shared" si="51"/>
        <v>145.33771174067974</v>
      </c>
      <c r="CR58">
        <f t="shared" si="52"/>
        <v>32.094341627481199</v>
      </c>
      <c r="CS58">
        <f t="shared" si="53"/>
        <v>21.701462354486779</v>
      </c>
      <c r="CT58">
        <f t="shared" si="54"/>
        <v>37.908799244763834</v>
      </c>
      <c r="CU58">
        <f t="shared" si="55"/>
        <v>0</v>
      </c>
      <c r="CV58">
        <f t="shared" si="56"/>
        <v>44.118938446601931</v>
      </c>
      <c r="CW58">
        <f t="shared" si="57"/>
        <v>-0.15332406110551255</v>
      </c>
      <c r="CX58">
        <f t="shared" si="58"/>
        <v>-500.12335813889518</v>
      </c>
      <c r="CY58">
        <f t="shared" si="59"/>
        <v>5.4657960000000001</v>
      </c>
      <c r="CZ58">
        <f t="shared" si="60"/>
        <v>4.1223599999999996</v>
      </c>
      <c r="DA58">
        <v>9087.3115053841793</v>
      </c>
      <c r="DB58">
        <f t="shared" si="71"/>
        <v>2266285.4827832314</v>
      </c>
      <c r="DC58">
        <f t="shared" si="72"/>
        <v>1264887.0519791536</v>
      </c>
      <c r="DD58">
        <f t="shared" si="73"/>
        <v>1838676.286214585</v>
      </c>
      <c r="DE58">
        <f t="shared" si="74"/>
        <v>1952818.0647097609</v>
      </c>
      <c r="DF58">
        <f t="shared" si="75"/>
        <v>331467.86307930487</v>
      </c>
      <c r="DG58">
        <f t="shared" si="76"/>
        <v>976196.62147164857</v>
      </c>
      <c r="DH58">
        <f t="shared" si="77"/>
        <v>706229.86382177565</v>
      </c>
      <c r="DI58">
        <f t="shared" si="78"/>
        <v>673978.02687593177</v>
      </c>
    </row>
    <row r="59" spans="1:113" x14ac:dyDescent="0.3">
      <c r="A59" s="1">
        <v>45678</v>
      </c>
      <c r="B59">
        <v>4</v>
      </c>
      <c r="C59">
        <v>0</v>
      </c>
      <c r="D59">
        <v>0.53398058252427105</v>
      </c>
      <c r="E59">
        <v>0.46472317204376801</v>
      </c>
      <c r="F59">
        <v>0.88545602565320902</v>
      </c>
      <c r="G59">
        <v>1.0077846448312899</v>
      </c>
      <c r="H59">
        <v>0.98177163041565096</v>
      </c>
      <c r="I59">
        <v>0.85454381519044997</v>
      </c>
      <c r="J59">
        <v>3.2408725536156098E-2</v>
      </c>
      <c r="K59">
        <v>21.361152031515701</v>
      </c>
      <c r="L59">
        <v>0.99845312213279502</v>
      </c>
      <c r="M59">
        <v>2.7349349834615699</v>
      </c>
      <c r="N59">
        <v>4.9444508751145797</v>
      </c>
      <c r="O59">
        <v>1.2852138891812599</v>
      </c>
      <c r="P59">
        <v>1.0226157324812599</v>
      </c>
      <c r="Q59">
        <v>1.0309414491653599</v>
      </c>
      <c r="R59">
        <v>2.9526062963342201</v>
      </c>
      <c r="S59">
        <v>1.02163410369178</v>
      </c>
      <c r="T59">
        <v>0.51652519583706702</v>
      </c>
      <c r="U59">
        <v>11</v>
      </c>
      <c r="V59">
        <v>137</v>
      </c>
      <c r="W59">
        <v>1979</v>
      </c>
      <c r="X59">
        <v>9070.0618034815998</v>
      </c>
      <c r="Y59">
        <f t="shared" si="8"/>
        <v>17949652.309090085</v>
      </c>
      <c r="Z59">
        <f t="shared" si="70"/>
        <v>11.329553770102734</v>
      </c>
      <c r="AA59">
        <f t="shared" si="80"/>
        <v>7.4169458351933208</v>
      </c>
      <c r="AB59">
        <f t="shared" si="81"/>
        <v>6.0652039024273021</v>
      </c>
      <c r="AC59">
        <f t="shared" si="82"/>
        <v>3.4020810873862422</v>
      </c>
      <c r="AD59">
        <f t="shared" si="83"/>
        <v>1.4008575345200038</v>
      </c>
      <c r="AE59">
        <f t="shared" si="84"/>
        <v>4.5072657855225113</v>
      </c>
      <c r="AF59">
        <f t="shared" si="85"/>
        <v>4.0023696565650875</v>
      </c>
      <c r="AG59">
        <f t="shared" si="86"/>
        <v>2.6228955241128342</v>
      </c>
      <c r="AH59">
        <f t="shared" si="87"/>
        <v>14.752361412031716</v>
      </c>
      <c r="AI59">
        <f t="shared" si="89"/>
        <v>6.9687240579263854</v>
      </c>
      <c r="AJ59">
        <f t="shared" si="89"/>
        <v>4.6296050148216619</v>
      </c>
      <c r="AK59">
        <f t="shared" si="89"/>
        <v>3.6948385064954095</v>
      </c>
      <c r="AL59">
        <f t="shared" si="89"/>
        <v>2.5944664113759068</v>
      </c>
      <c r="AM59">
        <f t="shared" si="89"/>
        <v>2.3895751703221002</v>
      </c>
      <c r="AN59">
        <f t="shared" si="89"/>
        <v>6.5870344778956778</v>
      </c>
      <c r="AO59">
        <f t="shared" si="89"/>
        <v>3.6424813908642166</v>
      </c>
      <c r="AP59">
        <f t="shared" si="10"/>
        <v>0.39594700395075544</v>
      </c>
      <c r="AQ59">
        <f t="shared" si="11"/>
        <v>0.52180348880379213</v>
      </c>
      <c r="AR59">
        <f t="shared" si="12"/>
        <v>0.59016086404385648</v>
      </c>
      <c r="AS59">
        <f t="shared" si="13"/>
        <v>0.47422614039155514</v>
      </c>
      <c r="AT59">
        <f t="shared" si="14"/>
        <v>0.31639899218890094</v>
      </c>
      <c r="AU59">
        <f t="shared" si="15"/>
        <v>0.72148962264636041</v>
      </c>
      <c r="AV59">
        <f t="shared" si="16"/>
        <v>0.32140445649721738</v>
      </c>
      <c r="AW59">
        <f t="shared" si="17"/>
        <v>0.39094981249627248</v>
      </c>
      <c r="BC59">
        <f t="shared" si="18"/>
        <v>72.095250788019726</v>
      </c>
      <c r="BD59">
        <f t="shared" si="19"/>
        <v>64.928575312248185</v>
      </c>
      <c r="BE59">
        <f t="shared" si="20"/>
        <v>64.398826203317725</v>
      </c>
      <c r="BF59">
        <f t="shared" si="21"/>
        <v>34.273278731770574</v>
      </c>
      <c r="BG59">
        <f t="shared" si="22"/>
        <v>7.3990274510195349</v>
      </c>
      <c r="BH59">
        <f t="shared" si="23"/>
        <v>88.392467798004688</v>
      </c>
      <c r="BI59">
        <f t="shared" si="24"/>
        <v>29.685121622339611</v>
      </c>
      <c r="BJ59">
        <f t="shared" si="25"/>
        <v>39.258749344182313</v>
      </c>
      <c r="BK59">
        <f t="shared" si="26"/>
        <v>3.6281365854882202</v>
      </c>
      <c r="BL59">
        <f t="shared" si="27"/>
        <v>-1.7325785394611288</v>
      </c>
      <c r="BM59">
        <f t="shared" si="28"/>
        <v>16.634912233074939</v>
      </c>
      <c r="BN59">
        <f t="shared" si="29"/>
        <v>9.7891462926274514E-2</v>
      </c>
      <c r="BO59">
        <f t="shared" si="30"/>
        <v>2.2681674149464377</v>
      </c>
      <c r="BP59">
        <f t="shared" si="31"/>
        <v>-22.305252678142164</v>
      </c>
      <c r="BQ59">
        <f t="shared" si="32"/>
        <v>0</v>
      </c>
      <c r="BR59">
        <f t="shared" si="33"/>
        <v>67.312186262135825</v>
      </c>
      <c r="BS59">
        <f t="shared" si="34"/>
        <v>2.0867068585026742</v>
      </c>
      <c r="BT59">
        <f t="shared" si="35"/>
        <v>-1.0255940733517308</v>
      </c>
      <c r="BU59">
        <f t="shared" si="36"/>
        <v>152.10562000000002</v>
      </c>
      <c r="BV59">
        <f t="shared" si="37"/>
        <v>-47.634938999999996</v>
      </c>
      <c r="BW59">
        <f t="shared" si="38"/>
        <v>400.43129725090239</v>
      </c>
      <c r="BX59">
        <f t="shared" si="39"/>
        <v>1571.6845026023493</v>
      </c>
      <c r="BY59">
        <f t="shared" si="40"/>
        <v>1979</v>
      </c>
      <c r="BZ59">
        <v>1972.1157954549899</v>
      </c>
      <c r="CD59">
        <v>1981.0388614296301</v>
      </c>
      <c r="CG59">
        <f t="shared" si="41"/>
        <v>202.25331491816667</v>
      </c>
      <c r="CH59">
        <f t="shared" si="42"/>
        <v>190.04154549312076</v>
      </c>
      <c r="CI59">
        <f t="shared" si="43"/>
        <v>158.32649464815975</v>
      </c>
      <c r="CJ59">
        <f t="shared" si="44"/>
        <v>141.12892402078728</v>
      </c>
      <c r="CK59">
        <f t="shared" si="45"/>
        <v>47.002446308878262</v>
      </c>
      <c r="CL59">
        <f t="shared" si="46"/>
        <v>129.72278510590425</v>
      </c>
      <c r="CM59">
        <f t="shared" si="47"/>
        <v>73.035579722111621</v>
      </c>
      <c r="CN59">
        <f t="shared" si="48"/>
        <v>56.093439611034107</v>
      </c>
      <c r="CO59">
        <f t="shared" si="49"/>
        <v>595.2001790726348</v>
      </c>
      <c r="CP59">
        <f t="shared" si="50"/>
        <v>406.25709477536662</v>
      </c>
      <c r="CQ59">
        <f t="shared" si="51"/>
        <v>144.25418784489659</v>
      </c>
      <c r="CR59">
        <f t="shared" si="52"/>
        <v>14.220493422671513</v>
      </c>
      <c r="CS59">
        <f t="shared" si="53"/>
        <v>28.440590617567526</v>
      </c>
      <c r="CT59">
        <f t="shared" si="54"/>
        <v>35.899456270566013</v>
      </c>
      <c r="CU59">
        <f t="shared" si="55"/>
        <v>0</v>
      </c>
      <c r="CV59">
        <f t="shared" si="56"/>
        <v>44.935955825242651</v>
      </c>
      <c r="CW59">
        <f t="shared" si="57"/>
        <v>-0.86397315506668415</v>
      </c>
      <c r="CX59">
        <f t="shared" si="58"/>
        <v>-501.24154230753305</v>
      </c>
      <c r="CY59">
        <f t="shared" si="59"/>
        <v>6.0388229999999998</v>
      </c>
      <c r="CZ59">
        <f t="shared" si="60"/>
        <v>4.5345959999999996</v>
      </c>
      <c r="DA59">
        <v>9070.0618034815998</v>
      </c>
      <c r="DB59">
        <f t="shared" si="71"/>
        <v>1834450.0662667986</v>
      </c>
      <c r="DC59">
        <f t="shared" si="72"/>
        <v>1723688.5628517654</v>
      </c>
      <c r="DD59">
        <f t="shared" si="73"/>
        <v>1436031.0915874077</v>
      </c>
      <c r="DE59">
        <f t="shared" si="74"/>
        <v>1280048.0631273997</v>
      </c>
      <c r="DF59">
        <f t="shared" si="75"/>
        <v>426315.09293635143</v>
      </c>
      <c r="DG59">
        <f t="shared" si="76"/>
        <v>1176593.6782303138</v>
      </c>
      <c r="DH59">
        <f t="shared" si="77"/>
        <v>662437.22193265986</v>
      </c>
      <c r="DI59">
        <f t="shared" si="78"/>
        <v>508770.96404194221</v>
      </c>
    </row>
    <row r="60" spans="1:113" x14ac:dyDescent="0.3">
      <c r="A60" s="1">
        <v>45685</v>
      </c>
      <c r="B60">
        <v>5</v>
      </c>
      <c r="C60">
        <v>0</v>
      </c>
      <c r="D60">
        <v>0.54368932038834905</v>
      </c>
      <c r="E60">
        <v>0.56806474673115503</v>
      </c>
      <c r="F60">
        <v>0.82298386589365602</v>
      </c>
      <c r="G60">
        <v>1.0069592180776099</v>
      </c>
      <c r="H60">
        <v>0.978876280128954</v>
      </c>
      <c r="I60">
        <v>0.86626878328370305</v>
      </c>
      <c r="J60">
        <v>1.0438548802452799E-2</v>
      </c>
      <c r="K60">
        <v>6.34750858766827</v>
      </c>
      <c r="L60">
        <v>0.996865700556539</v>
      </c>
      <c r="M60">
        <v>3.3995783890914901</v>
      </c>
      <c r="N60">
        <v>1.3411587994521299</v>
      </c>
      <c r="O60">
        <v>1.37836633129095</v>
      </c>
      <c r="P60">
        <v>2.1612941086272901</v>
      </c>
      <c r="Q60">
        <v>0.76133278589247599</v>
      </c>
      <c r="R60">
        <v>1.68867387842053</v>
      </c>
      <c r="S60">
        <v>2.3052407139780802</v>
      </c>
      <c r="T60">
        <v>0.68226013630790305</v>
      </c>
      <c r="U60">
        <v>11</v>
      </c>
      <c r="V60">
        <v>107</v>
      </c>
      <c r="W60">
        <v>1867</v>
      </c>
      <c r="X60">
        <v>9062.6329626984898</v>
      </c>
      <c r="Y60">
        <f t="shared" si="8"/>
        <v>16919935.741358079</v>
      </c>
      <c r="Z60">
        <f t="shared" si="70"/>
        <v>10.197310651153131</v>
      </c>
      <c r="AA60">
        <f t="shared" si="80"/>
        <v>5.0496317170487899</v>
      </c>
      <c r="AB60">
        <f t="shared" si="81"/>
        <v>4.1077080873832355</v>
      </c>
      <c r="AC60">
        <f t="shared" si="82"/>
        <v>3.1819184348431628</v>
      </c>
      <c r="AD60">
        <f t="shared" si="83"/>
        <v>1.2516329229744774</v>
      </c>
      <c r="AE60">
        <f t="shared" si="84"/>
        <v>3.9423067711817854</v>
      </c>
      <c r="AF60">
        <f t="shared" si="85"/>
        <v>5.106899473573641</v>
      </c>
      <c r="AG60">
        <f t="shared" si="86"/>
        <v>2.1248526745699623</v>
      </c>
      <c r="AH60">
        <f t="shared" si="87"/>
        <v>14.752361412031716</v>
      </c>
      <c r="AI60">
        <f t="shared" si="89"/>
        <v>6.9687240579263854</v>
      </c>
      <c r="AJ60">
        <f t="shared" si="89"/>
        <v>4.6296050148216619</v>
      </c>
      <c r="AK60">
        <f t="shared" si="89"/>
        <v>3.6948385064954095</v>
      </c>
      <c r="AL60">
        <f t="shared" si="89"/>
        <v>2.5944664113759068</v>
      </c>
      <c r="AM60">
        <f t="shared" si="89"/>
        <v>2.3895751703221002</v>
      </c>
      <c r="AN60">
        <f t="shared" si="89"/>
        <v>6.5870344778956778</v>
      </c>
      <c r="AO60">
        <f t="shared" si="89"/>
        <v>3.6424813908642166</v>
      </c>
      <c r="AP60">
        <f t="shared" si="10"/>
        <v>0.35644062236237195</v>
      </c>
      <c r="AQ60">
        <f t="shared" si="11"/>
        <v>0.38913169408739662</v>
      </c>
      <c r="AR60">
        <f t="shared" si="12"/>
        <v>0.45972034204818318</v>
      </c>
      <c r="AS60">
        <f t="shared" si="13"/>
        <v>0.45343143633581828</v>
      </c>
      <c r="AT60">
        <f t="shared" si="14"/>
        <v>0.28676154318861885</v>
      </c>
      <c r="AU60">
        <f t="shared" si="15"/>
        <v>0.67939125008598855</v>
      </c>
      <c r="AV60">
        <f t="shared" si="16"/>
        <v>0.4057009888981129</v>
      </c>
      <c r="AW60">
        <f t="shared" si="17"/>
        <v>0.32572169563961051</v>
      </c>
      <c r="BC60">
        <f t="shared" si="18"/>
        <v>64.901807069738808</v>
      </c>
      <c r="BD60">
        <f t="shared" si="19"/>
        <v>48.420079681446239</v>
      </c>
      <c r="BE60">
        <f t="shared" si="20"/>
        <v>50.165051960291727</v>
      </c>
      <c r="BF60">
        <f t="shared" si="21"/>
        <v>32.770403568333805</v>
      </c>
      <c r="BG60">
        <f t="shared" si="22"/>
        <v>6.7059522385664048</v>
      </c>
      <c r="BH60">
        <f t="shared" si="23"/>
        <v>83.23483430739104</v>
      </c>
      <c r="BI60">
        <f t="shared" si="24"/>
        <v>37.470803388963589</v>
      </c>
      <c r="BJ60">
        <f t="shared" si="25"/>
        <v>32.708613730821092</v>
      </c>
      <c r="BK60">
        <f t="shared" si="26"/>
        <v>3.6251649575526024</v>
      </c>
      <c r="BL60">
        <f t="shared" si="27"/>
        <v>-1.7274689787287312</v>
      </c>
      <c r="BM60">
        <f t="shared" si="28"/>
        <v>16.863155433364675</v>
      </c>
      <c r="BN60">
        <f t="shared" si="29"/>
        <v>3.1529928937175149E-2</v>
      </c>
      <c r="BO60">
        <f t="shared" si="30"/>
        <v>2.7725450883995473</v>
      </c>
      <c r="BP60">
        <f t="shared" si="31"/>
        <v>-20.731535555647991</v>
      </c>
      <c r="BQ60">
        <f t="shared" si="32"/>
        <v>0</v>
      </c>
      <c r="BR60">
        <f t="shared" si="33"/>
        <v>68.536044194174693</v>
      </c>
      <c r="BS60">
        <f t="shared" si="34"/>
        <v>0.62006907140355028</v>
      </c>
      <c r="BT60">
        <f t="shared" si="35"/>
        <v>-1.0239635008947674</v>
      </c>
      <c r="BU60">
        <f t="shared" si="36"/>
        <v>118.79782</v>
      </c>
      <c r="BV60">
        <f t="shared" si="37"/>
        <v>-47.634938999999996</v>
      </c>
      <c r="BW60">
        <f t="shared" si="38"/>
        <v>356.3775459455527</v>
      </c>
      <c r="BX60">
        <f t="shared" si="39"/>
        <v>1540.3776677147907</v>
      </c>
      <c r="BY60">
        <f t="shared" si="40"/>
        <v>1867</v>
      </c>
      <c r="BZ60">
        <v>1896.75521199013</v>
      </c>
      <c r="CD60">
        <v>1864.5251040405799</v>
      </c>
      <c r="CG60">
        <f t="shared" si="41"/>
        <v>182.0730974725351</v>
      </c>
      <c r="CH60">
        <f t="shared" si="42"/>
        <v>141.72229609705076</v>
      </c>
      <c r="CI60">
        <f t="shared" si="43"/>
        <v>123.33232294700741</v>
      </c>
      <c r="CJ60">
        <f t="shared" si="44"/>
        <v>134.94045409314111</v>
      </c>
      <c r="CK60">
        <f t="shared" si="45"/>
        <v>42.599674366620661</v>
      </c>
      <c r="CL60">
        <f t="shared" si="46"/>
        <v>122.1535589305831</v>
      </c>
      <c r="CM60">
        <f t="shared" si="47"/>
        <v>92.191026972471931</v>
      </c>
      <c r="CN60">
        <f t="shared" si="48"/>
        <v>46.734515992480056</v>
      </c>
      <c r="CO60">
        <f t="shared" si="49"/>
        <v>594.71267992872401</v>
      </c>
      <c r="CP60">
        <f t="shared" si="50"/>
        <v>405.05899884410348</v>
      </c>
      <c r="CQ60">
        <f t="shared" si="51"/>
        <v>146.23346113636919</v>
      </c>
      <c r="CR60">
        <f t="shared" si="52"/>
        <v>4.5802885529056141</v>
      </c>
      <c r="CS60">
        <f t="shared" si="53"/>
        <v>34.764991026811479</v>
      </c>
      <c r="CT60">
        <f t="shared" si="54"/>
        <v>33.366618385408003</v>
      </c>
      <c r="CU60">
        <f t="shared" si="55"/>
        <v>0</v>
      </c>
      <c r="CV60">
        <f t="shared" si="56"/>
        <v>45.752973203883457</v>
      </c>
      <c r="CW60">
        <f t="shared" si="57"/>
        <v>-0.25673133233683088</v>
      </c>
      <c r="CX60">
        <f t="shared" si="58"/>
        <v>-500.44462793915977</v>
      </c>
      <c r="CY60">
        <f t="shared" si="59"/>
        <v>4.7164530000000005</v>
      </c>
      <c r="CZ60">
        <f t="shared" si="60"/>
        <v>4.5345959999999996</v>
      </c>
      <c r="DA60">
        <v>9062.6329626984898</v>
      </c>
      <c r="DB60">
        <f t="shared" si="71"/>
        <v>1650061.6547752116</v>
      </c>
      <c r="DC60">
        <f t="shared" si="72"/>
        <v>1284377.1521584478</v>
      </c>
      <c r="DD60">
        <f t="shared" si="73"/>
        <v>1117715.5753057247</v>
      </c>
      <c r="DE60">
        <f t="shared" si="74"/>
        <v>1222915.807266003</v>
      </c>
      <c r="DF60">
        <f t="shared" si="75"/>
        <v>386065.21311515832</v>
      </c>
      <c r="DG60">
        <f t="shared" si="76"/>
        <v>1107032.8696752349</v>
      </c>
      <c r="DH60">
        <f t="shared" si="77"/>
        <v>835493.43990574963</v>
      </c>
      <c r="DI60">
        <f t="shared" si="78"/>
        <v>423537.7651292095</v>
      </c>
    </row>
    <row r="61" spans="1:113" x14ac:dyDescent="0.3">
      <c r="A61" s="1">
        <v>45692</v>
      </c>
      <c r="B61">
        <v>6</v>
      </c>
      <c r="C61">
        <v>0</v>
      </c>
      <c r="D61">
        <v>0.55339805825242705</v>
      </c>
      <c r="E61">
        <v>0.66312265824079497</v>
      </c>
      <c r="F61">
        <v>0.74851074817110097</v>
      </c>
      <c r="G61">
        <v>1.01144404201131</v>
      </c>
      <c r="H61">
        <v>0.97670060193534702</v>
      </c>
      <c r="I61">
        <v>0.87313686691606196</v>
      </c>
      <c r="J61">
        <v>4.2890743853228799E-3</v>
      </c>
      <c r="K61">
        <v>8.5650944400683198</v>
      </c>
      <c r="L61">
        <v>0.994881888856601</v>
      </c>
      <c r="M61">
        <v>7.8789179435087302</v>
      </c>
      <c r="N61">
        <v>0.57453911944741198</v>
      </c>
      <c r="O61">
        <v>2.7505253767117699</v>
      </c>
      <c r="P61">
        <v>2.3005334466713601</v>
      </c>
      <c r="Q61">
        <v>4.9398116414800102</v>
      </c>
      <c r="R61">
        <v>0.81364538865271196</v>
      </c>
      <c r="S61">
        <v>1.1593170712601799</v>
      </c>
      <c r="T61">
        <v>1.10643145441586</v>
      </c>
      <c r="U61">
        <v>12</v>
      </c>
      <c r="V61">
        <v>126</v>
      </c>
      <c r="W61">
        <v>1969</v>
      </c>
      <c r="X61">
        <v>9102.9963781018105</v>
      </c>
      <c r="Y61">
        <f t="shared" si="8"/>
        <v>17923799.868482463</v>
      </c>
      <c r="Z61">
        <f t="shared" si="70"/>
        <v>13.99730433420061</v>
      </c>
      <c r="AA61">
        <f t="shared" si="80"/>
        <v>3.099354977971807</v>
      </c>
      <c r="AB61">
        <f t="shared" si="81"/>
        <v>4.5989940160342258</v>
      </c>
      <c r="AC61">
        <f t="shared" si="82"/>
        <v>3.2551089771243089</v>
      </c>
      <c r="AD61">
        <f t="shared" si="83"/>
        <v>5.3778831645210774</v>
      </c>
      <c r="AE61">
        <f t="shared" si="84"/>
        <v>2.7847987742436047</v>
      </c>
      <c r="AF61">
        <f t="shared" si="85"/>
        <v>4.7341467027617288</v>
      </c>
      <c r="AG61">
        <f t="shared" si="86"/>
        <v>2.2751004254293394</v>
      </c>
      <c r="AH61">
        <f t="shared" si="87"/>
        <v>14.752361412031716</v>
      </c>
      <c r="AI61">
        <f t="shared" si="89"/>
        <v>6.9687240579263854</v>
      </c>
      <c r="AJ61">
        <f t="shared" si="89"/>
        <v>4.6296050148216619</v>
      </c>
      <c r="AK61">
        <f t="shared" si="89"/>
        <v>3.6948385064954095</v>
      </c>
      <c r="AL61">
        <f t="shared" si="89"/>
        <v>2.5944664113759068</v>
      </c>
      <c r="AM61">
        <f t="shared" si="89"/>
        <v>2.3895751703221002</v>
      </c>
      <c r="AN61">
        <f t="shared" si="89"/>
        <v>6.5870344778956778</v>
      </c>
      <c r="AO61">
        <f t="shared" si="89"/>
        <v>3.6424813908642166</v>
      </c>
      <c r="AP61">
        <f t="shared" si="10"/>
        <v>0.47899700550425778</v>
      </c>
      <c r="AQ61">
        <f t="shared" si="11"/>
        <v>0.24336227803687235</v>
      </c>
      <c r="AR61">
        <f t="shared" si="12"/>
        <v>0.4977610510777345</v>
      </c>
      <c r="AS61">
        <f t="shared" si="13"/>
        <v>0.46048535784236211</v>
      </c>
      <c r="AT61">
        <f t="shared" si="14"/>
        <v>0.71323388626666517</v>
      </c>
      <c r="AU61">
        <f t="shared" si="15"/>
        <v>0.55714670340721395</v>
      </c>
      <c r="AV61">
        <f t="shared" si="16"/>
        <v>0.37860991447503062</v>
      </c>
      <c r="AW61">
        <f t="shared" si="17"/>
        <v>0.34629497197378561</v>
      </c>
      <c r="BC61">
        <f t="shared" si="18"/>
        <v>87.217251030986219</v>
      </c>
      <c r="BD61">
        <f t="shared" si="19"/>
        <v>30.281832790924256</v>
      </c>
      <c r="BE61">
        <f t="shared" si="20"/>
        <v>54.316084600204299</v>
      </c>
      <c r="BF61">
        <f t="shared" si="21"/>
        <v>33.280204689263563</v>
      </c>
      <c r="BG61">
        <f t="shared" si="22"/>
        <v>16.679057878710658</v>
      </c>
      <c r="BH61">
        <f t="shared" si="23"/>
        <v>68.258184863492389</v>
      </c>
      <c r="BI61">
        <f t="shared" si="24"/>
        <v>34.968654389869009</v>
      </c>
      <c r="BJ61">
        <f t="shared" si="25"/>
        <v>34.774559468548439</v>
      </c>
      <c r="BK61">
        <f t="shared" si="26"/>
        <v>3.6413108215293795</v>
      </c>
      <c r="BL61">
        <f t="shared" si="27"/>
        <v>-1.7236294571635979</v>
      </c>
      <c r="BM61">
        <f t="shared" si="28"/>
        <v>16.996852461419635</v>
      </c>
      <c r="BN61">
        <f t="shared" si="29"/>
        <v>1.2955269274950549E-2</v>
      </c>
      <c r="BO61">
        <f t="shared" si="30"/>
        <v>3.2364928112359741</v>
      </c>
      <c r="BP61">
        <f t="shared" si="31"/>
        <v>-18.855505961400013</v>
      </c>
      <c r="BQ61">
        <f t="shared" si="32"/>
        <v>0</v>
      </c>
      <c r="BR61">
        <f t="shared" si="33"/>
        <v>69.759902126213575</v>
      </c>
      <c r="BS61">
        <f t="shared" si="34"/>
        <v>0.83669838056695389</v>
      </c>
      <c r="BT61">
        <f t="shared" si="35"/>
        <v>-1.0219257632413898</v>
      </c>
      <c r="BU61">
        <f t="shared" si="36"/>
        <v>139.89276000000001</v>
      </c>
      <c r="BV61">
        <f t="shared" si="37"/>
        <v>-51.965387999999997</v>
      </c>
      <c r="BW61">
        <f t="shared" si="38"/>
        <v>359.77582971199882</v>
      </c>
      <c r="BX61">
        <f t="shared" si="39"/>
        <v>1561.0597687646655</v>
      </c>
      <c r="BY61">
        <f t="shared" si="40"/>
        <v>1969</v>
      </c>
      <c r="BZ61">
        <v>1920.8355965005101</v>
      </c>
      <c r="CD61">
        <v>1930.49447594</v>
      </c>
      <c r="CG61">
        <f t="shared" si="41"/>
        <v>244.67600772945971</v>
      </c>
      <c r="CH61">
        <f t="shared" si="42"/>
        <v>88.632875067349815</v>
      </c>
      <c r="CI61">
        <f t="shared" si="43"/>
        <v>133.53776434701845</v>
      </c>
      <c r="CJ61">
        <f t="shared" si="44"/>
        <v>137.03968960032688</v>
      </c>
      <c r="CK61">
        <f t="shared" si="45"/>
        <v>105.95399565908448</v>
      </c>
      <c r="CL61">
        <f t="shared" si="46"/>
        <v>100.17416718131031</v>
      </c>
      <c r="CM61">
        <f t="shared" si="47"/>
        <v>86.034882321124144</v>
      </c>
      <c r="CN61">
        <f t="shared" si="48"/>
        <v>49.686367603006588</v>
      </c>
      <c r="CO61">
        <f t="shared" si="49"/>
        <v>597.36142837129864</v>
      </c>
      <c r="CP61">
        <f t="shared" si="50"/>
        <v>404.15870322064302</v>
      </c>
      <c r="CQ61">
        <f t="shared" si="51"/>
        <v>147.39285145530323</v>
      </c>
      <c r="CR61">
        <f t="shared" si="52"/>
        <v>1.8819855787845658</v>
      </c>
      <c r="CS61">
        <f t="shared" si="53"/>
        <v>40.582439582942463</v>
      </c>
      <c r="CT61">
        <f t="shared" si="54"/>
        <v>30.347220069109596</v>
      </c>
      <c r="CU61">
        <f t="shared" si="55"/>
        <v>0</v>
      </c>
      <c r="CV61">
        <f t="shared" si="56"/>
        <v>46.569990582524255</v>
      </c>
      <c r="CW61">
        <f t="shared" si="57"/>
        <v>-0.3464238097230033</v>
      </c>
      <c r="CX61">
        <f t="shared" si="58"/>
        <v>-499.44871855284765</v>
      </c>
      <c r="CY61">
        <f t="shared" si="59"/>
        <v>5.5539540000000001</v>
      </c>
      <c r="CZ61">
        <f t="shared" si="60"/>
        <v>4.9468319999999997</v>
      </c>
      <c r="DA61">
        <v>9102.9963781018105</v>
      </c>
      <c r="DB61">
        <f t="shared" si="71"/>
        <v>2227284.8121696822</v>
      </c>
      <c r="DC61">
        <f t="shared" si="72"/>
        <v>806824.74071883562</v>
      </c>
      <c r="DD61">
        <f t="shared" si="73"/>
        <v>1215593.785190722</v>
      </c>
      <c r="DE61">
        <f t="shared" si="74"/>
        <v>1247471.798087972</v>
      </c>
      <c r="DF61">
        <f t="shared" si="75"/>
        <v>964498.83873006096</v>
      </c>
      <c r="DG61">
        <f t="shared" si="76"/>
        <v>911885.08103083295</v>
      </c>
      <c r="DH61">
        <f t="shared" si="77"/>
        <v>783175.22215960862</v>
      </c>
      <c r="DI61">
        <f t="shared" si="78"/>
        <v>452294.82433120412</v>
      </c>
    </row>
    <row r="62" spans="1:113" x14ac:dyDescent="0.3">
      <c r="A62" s="1">
        <v>45699</v>
      </c>
      <c r="B62">
        <v>7</v>
      </c>
      <c r="C62">
        <v>0</v>
      </c>
      <c r="D62">
        <v>0.56310679611650405</v>
      </c>
      <c r="E62">
        <v>0.74851074817110097</v>
      </c>
      <c r="F62">
        <v>0.66312265824079497</v>
      </c>
      <c r="G62">
        <v>1.00884654866423</v>
      </c>
      <c r="H62">
        <v>0.98308601113265204</v>
      </c>
      <c r="I62">
        <v>0.86602031269416002</v>
      </c>
      <c r="J62">
        <v>4.6007497443337798E-2</v>
      </c>
      <c r="K62">
        <v>7.7454843743171802</v>
      </c>
      <c r="L62">
        <v>0.99415259766055197</v>
      </c>
      <c r="M62">
        <v>7.6139014477398499</v>
      </c>
      <c r="N62">
        <v>1.59645921579742</v>
      </c>
      <c r="O62">
        <v>1.8575946665068901</v>
      </c>
      <c r="P62">
        <v>3.39356721892318</v>
      </c>
      <c r="Q62">
        <v>0.30732503284044799</v>
      </c>
      <c r="R62">
        <v>0.91261683235234703</v>
      </c>
      <c r="S62">
        <v>9.9075578493153298</v>
      </c>
      <c r="T62">
        <v>1.82705669583982</v>
      </c>
      <c r="U62">
        <v>9</v>
      </c>
      <c r="V62">
        <v>140</v>
      </c>
      <c r="W62">
        <v>2001</v>
      </c>
      <c r="X62">
        <v>9079.6189379780899</v>
      </c>
      <c r="Y62">
        <f t="shared" si="8"/>
        <v>18168317.494894158</v>
      </c>
      <c r="Z62">
        <f t="shared" si="70"/>
        <v>16.012284048260216</v>
      </c>
      <c r="AA62">
        <f t="shared" si="80"/>
        <v>3.1461367047833235</v>
      </c>
      <c r="AB62">
        <f t="shared" si="81"/>
        <v>3.9271419737222919</v>
      </c>
      <c r="AC62">
        <f t="shared" si="82"/>
        <v>4.3700999120604731</v>
      </c>
      <c r="AD62">
        <f t="shared" si="83"/>
        <v>2.1895841404228249</v>
      </c>
      <c r="AE62">
        <f t="shared" si="84"/>
        <v>2.3050162194741493</v>
      </c>
      <c r="AF62">
        <f t="shared" si="85"/>
        <v>13.22146054124854</v>
      </c>
      <c r="AG62">
        <f t="shared" si="86"/>
        <v>3.0783619298259568</v>
      </c>
      <c r="AH62">
        <f t="shared" si="87"/>
        <v>14.752361412031716</v>
      </c>
      <c r="AI62">
        <f t="shared" si="89"/>
        <v>6.9687240579263854</v>
      </c>
      <c r="AJ62">
        <f t="shared" si="89"/>
        <v>4.6296050148216619</v>
      </c>
      <c r="AK62">
        <f t="shared" si="89"/>
        <v>3.6948385064954095</v>
      </c>
      <c r="AL62">
        <f t="shared" si="89"/>
        <v>2.5944664113759068</v>
      </c>
      <c r="AM62">
        <f t="shared" si="89"/>
        <v>2.3895751703221002</v>
      </c>
      <c r="AN62">
        <f t="shared" si="89"/>
        <v>6.5870344778956778</v>
      </c>
      <c r="AO62">
        <f t="shared" si="89"/>
        <v>3.6424813908642166</v>
      </c>
      <c r="AP62">
        <f t="shared" si="10"/>
        <v>0.53273431737169152</v>
      </c>
      <c r="AQ62">
        <f t="shared" si="11"/>
        <v>0.24724507769687568</v>
      </c>
      <c r="AR62">
        <f t="shared" si="12"/>
        <v>0.44468842220902571</v>
      </c>
      <c r="AS62">
        <f t="shared" si="13"/>
        <v>0.5522612456371141</v>
      </c>
      <c r="AT62">
        <f t="shared" si="14"/>
        <v>0.44717621905723082</v>
      </c>
      <c r="AU62">
        <f t="shared" si="15"/>
        <v>0.48649283064315457</v>
      </c>
      <c r="AV62">
        <f t="shared" si="16"/>
        <v>0.739834221021473</v>
      </c>
      <c r="AW62">
        <f t="shared" si="17"/>
        <v>0.44345266176267217</v>
      </c>
      <c r="BC62">
        <f t="shared" si="18"/>
        <v>97.001906394203729</v>
      </c>
      <c r="BD62">
        <f t="shared" si="19"/>
        <v>30.764973773221698</v>
      </c>
      <c r="BE62">
        <f t="shared" si="20"/>
        <v>48.524756826875077</v>
      </c>
      <c r="BF62">
        <f t="shared" si="21"/>
        <v>39.91303302860419</v>
      </c>
      <c r="BG62">
        <f t="shared" si="22"/>
        <v>10.457268202270972</v>
      </c>
      <c r="BH62">
        <f t="shared" si="23"/>
        <v>59.602107247026694</v>
      </c>
      <c r="BI62">
        <f t="shared" si="24"/>
        <v>68.33156288727892</v>
      </c>
      <c r="BJ62">
        <f t="shared" si="25"/>
        <v>44.531027609374277</v>
      </c>
      <c r="BK62">
        <f t="shared" si="26"/>
        <v>3.6319595571581296</v>
      </c>
      <c r="BL62">
        <f t="shared" si="27"/>
        <v>-1.7348980888883143</v>
      </c>
      <c r="BM62">
        <f t="shared" si="28"/>
        <v>16.858318599517101</v>
      </c>
      <c r="BN62">
        <f t="shared" si="29"/>
        <v>0.13896693423753023</v>
      </c>
      <c r="BO62">
        <f t="shared" si="30"/>
        <v>3.6532451809374695</v>
      </c>
      <c r="BP62">
        <f t="shared" si="31"/>
        <v>-16.704520631333104</v>
      </c>
      <c r="BQ62">
        <f t="shared" si="32"/>
        <v>0</v>
      </c>
      <c r="BR62">
        <f t="shared" si="33"/>
        <v>70.983760058252329</v>
      </c>
      <c r="BS62">
        <f t="shared" si="34"/>
        <v>0.75663313207392235</v>
      </c>
      <c r="BT62">
        <f t="shared" si="35"/>
        <v>-1.0211766477227586</v>
      </c>
      <c r="BU62">
        <f t="shared" si="36"/>
        <v>155.43639999999999</v>
      </c>
      <c r="BV62">
        <f t="shared" si="37"/>
        <v>-38.974041</v>
      </c>
      <c r="BW62">
        <f t="shared" si="38"/>
        <v>399.12663596885557</v>
      </c>
      <c r="BX62">
        <f t="shared" si="39"/>
        <v>1593.2738931704623</v>
      </c>
      <c r="BY62">
        <f t="shared" si="40"/>
        <v>2001</v>
      </c>
      <c r="BZ62">
        <v>1992.40052795458</v>
      </c>
      <c r="CD62">
        <v>2036.80192726014</v>
      </c>
      <c r="CG62">
        <f t="shared" si="41"/>
        <v>272.12551322270383</v>
      </c>
      <c r="CH62">
        <f t="shared" si="42"/>
        <v>90.046996022958567</v>
      </c>
      <c r="CI62">
        <f t="shared" si="43"/>
        <v>119.29960691826534</v>
      </c>
      <c r="CJ62">
        <f t="shared" si="44"/>
        <v>164.35204375446853</v>
      </c>
      <c r="CK62">
        <f t="shared" si="45"/>
        <v>66.429972110328322</v>
      </c>
      <c r="CL62">
        <f t="shared" si="46"/>
        <v>87.470703589063433</v>
      </c>
      <c r="CM62">
        <f t="shared" si="47"/>
        <v>168.11907905523381</v>
      </c>
      <c r="CN62">
        <f t="shared" si="48"/>
        <v>63.626543120989361</v>
      </c>
      <c r="CO62">
        <f t="shared" si="49"/>
        <v>595.82734218210021</v>
      </c>
      <c r="CP62">
        <f t="shared" si="50"/>
        <v>406.80098550817536</v>
      </c>
      <c r="CQ62">
        <f t="shared" si="51"/>
        <v>146.19151720972584</v>
      </c>
      <c r="CR62">
        <f t="shared" si="52"/>
        <v>20.187443472797547</v>
      </c>
      <c r="CS62">
        <f t="shared" si="53"/>
        <v>45.808104786258717</v>
      </c>
      <c r="CT62">
        <f t="shared" si="54"/>
        <v>26.885290948215292</v>
      </c>
      <c r="CU62">
        <f t="shared" si="55"/>
        <v>0</v>
      </c>
      <c r="CV62">
        <f t="shared" si="56"/>
        <v>47.387007961164976</v>
      </c>
      <c r="CW62">
        <f t="shared" si="57"/>
        <v>-0.31327386100363269</v>
      </c>
      <c r="CX62">
        <f t="shared" si="58"/>
        <v>-499.08260117007251</v>
      </c>
      <c r="CY62">
        <f t="shared" si="59"/>
        <v>6.1710599999999998</v>
      </c>
      <c r="CZ62">
        <f t="shared" si="60"/>
        <v>3.710124</v>
      </c>
      <c r="DA62">
        <v>9079.6189379780899</v>
      </c>
      <c r="DB62">
        <f t="shared" si="71"/>
        <v>2470795.9633638687</v>
      </c>
      <c r="DC62">
        <f t="shared" si="72"/>
        <v>817592.41039809235</v>
      </c>
      <c r="DD62">
        <f t="shared" si="73"/>
        <v>1083194.9702684239</v>
      </c>
      <c r="DE62">
        <f t="shared" si="74"/>
        <v>1492253.9289684761</v>
      </c>
      <c r="DF62">
        <f t="shared" si="75"/>
        <v>603158.83282229339</v>
      </c>
      <c r="DG62">
        <f t="shared" si="76"/>
        <v>794200.65682552848</v>
      </c>
      <c r="DH62">
        <f t="shared" si="77"/>
        <v>1526457.1740253365</v>
      </c>
      <c r="DI62">
        <f t="shared" si="78"/>
        <v>577704.76587941451</v>
      </c>
    </row>
    <row r="63" spans="1:113" x14ac:dyDescent="0.3">
      <c r="A63" s="1">
        <v>45706</v>
      </c>
      <c r="B63">
        <v>8</v>
      </c>
      <c r="C63">
        <v>0</v>
      </c>
      <c r="D63">
        <v>0.57281553398058205</v>
      </c>
      <c r="E63">
        <v>0.82298386589365602</v>
      </c>
      <c r="F63">
        <v>0.56806474673115503</v>
      </c>
      <c r="G63">
        <v>1.0117513837280001</v>
      </c>
      <c r="H63">
        <v>0.98062185109497901</v>
      </c>
      <c r="I63">
        <v>0.86943989418107903</v>
      </c>
      <c r="J63">
        <v>3.4754937181559802E-2</v>
      </c>
      <c r="K63">
        <v>10.922082725200699</v>
      </c>
      <c r="L63">
        <v>0.994782937724764</v>
      </c>
      <c r="M63">
        <v>5.50550989370028</v>
      </c>
      <c r="N63">
        <v>1.4548346603651501</v>
      </c>
      <c r="O63">
        <v>4.4647760100580802</v>
      </c>
      <c r="P63">
        <v>5.2144320144514396</v>
      </c>
      <c r="Q63">
        <v>0.56764148163865502</v>
      </c>
      <c r="R63">
        <v>0.42268761850562803</v>
      </c>
      <c r="S63">
        <v>8.4648946957072901</v>
      </c>
      <c r="T63">
        <v>0.54917965590374596</v>
      </c>
      <c r="U63">
        <v>11</v>
      </c>
      <c r="V63">
        <v>125</v>
      </c>
      <c r="W63">
        <v>2053</v>
      </c>
      <c r="X63">
        <v>9105.7624535520699</v>
      </c>
      <c r="Y63">
        <f t="shared" si="8"/>
        <v>18694130.317142401</v>
      </c>
      <c r="Z63">
        <f t="shared" si="70"/>
        <v>15.112880322656409</v>
      </c>
      <c r="AA63">
        <f t="shared" si="80"/>
        <v>3.0279030127568118</v>
      </c>
      <c r="AB63">
        <f t="shared" si="81"/>
        <v>6.2319898982331114</v>
      </c>
      <c r="AC63">
        <f t="shared" si="82"/>
        <v>6.5254619880695817</v>
      </c>
      <c r="AD63">
        <f t="shared" si="83"/>
        <v>1.3339959307866436</v>
      </c>
      <c r="AE63">
        <f t="shared" si="84"/>
        <v>1.5751957282427027</v>
      </c>
      <c r="AF63">
        <f t="shared" si="85"/>
        <v>17.719917074581268</v>
      </c>
      <c r="AG63">
        <f t="shared" si="86"/>
        <v>2.2422787173080225</v>
      </c>
      <c r="AH63">
        <f t="shared" si="87"/>
        <v>14.752361412031716</v>
      </c>
      <c r="AI63">
        <f t="shared" si="89"/>
        <v>6.9687240579263854</v>
      </c>
      <c r="AJ63">
        <f t="shared" si="89"/>
        <v>4.6296050148216619</v>
      </c>
      <c r="AK63">
        <f t="shared" si="89"/>
        <v>3.6948385064954095</v>
      </c>
      <c r="AL63">
        <f t="shared" si="89"/>
        <v>2.5944664113759068</v>
      </c>
      <c r="AM63">
        <f t="shared" si="89"/>
        <v>2.3895751703221002</v>
      </c>
      <c r="AN63">
        <f t="shared" si="89"/>
        <v>6.5870344778956778</v>
      </c>
      <c r="AO63">
        <f t="shared" si="89"/>
        <v>3.6424813908642166</v>
      </c>
      <c r="AP63">
        <f t="shared" si="10"/>
        <v>0.50965648554542553</v>
      </c>
      <c r="AQ63">
        <f t="shared" si="11"/>
        <v>0.23740010640065198</v>
      </c>
      <c r="AR63">
        <f t="shared" si="12"/>
        <v>0.59898856861575767</v>
      </c>
      <c r="AS63">
        <f t="shared" si="13"/>
        <v>0.67061515683949091</v>
      </c>
      <c r="AT63">
        <f t="shared" si="14"/>
        <v>0.30332747440595081</v>
      </c>
      <c r="AU63">
        <f t="shared" si="15"/>
        <v>0.34862149749795862</v>
      </c>
      <c r="AV63">
        <f t="shared" si="16"/>
        <v>0.81523309672825039</v>
      </c>
      <c r="AW63">
        <f t="shared" si="17"/>
        <v>0.34186753283667742</v>
      </c>
      <c r="BC63">
        <f t="shared" si="18"/>
        <v>92.799823649399528</v>
      </c>
      <c r="BD63">
        <f t="shared" si="19"/>
        <v>29.539953293348784</v>
      </c>
      <c r="BE63">
        <f t="shared" si="20"/>
        <v>65.362112397194934</v>
      </c>
      <c r="BF63">
        <f t="shared" si="21"/>
        <v>48.466708674331038</v>
      </c>
      <c r="BG63">
        <f t="shared" si="22"/>
        <v>7.0933484782976652</v>
      </c>
      <c r="BH63">
        <f t="shared" si="23"/>
        <v>42.710960108132788</v>
      </c>
      <c r="BI63">
        <f t="shared" si="24"/>
        <v>75.295451378236208</v>
      </c>
      <c r="BJ63">
        <f t="shared" si="25"/>
        <v>34.329960909437958</v>
      </c>
      <c r="BK63">
        <f t="shared" si="26"/>
        <v>3.6424172858243944</v>
      </c>
      <c r="BL63">
        <f t="shared" si="27"/>
        <v>-1.7305494698543109</v>
      </c>
      <c r="BM63">
        <f t="shared" si="28"/>
        <v>16.924885622644016</v>
      </c>
      <c r="BN63">
        <f t="shared" si="29"/>
        <v>0.10497826089514246</v>
      </c>
      <c r="BO63">
        <f t="shared" si="30"/>
        <v>4.0167250095091784</v>
      </c>
      <c r="BP63">
        <f t="shared" si="31"/>
        <v>-14.309945775156775</v>
      </c>
      <c r="BQ63">
        <f t="shared" si="32"/>
        <v>0</v>
      </c>
      <c r="BR63">
        <f t="shared" si="33"/>
        <v>72.207617990291197</v>
      </c>
      <c r="BS63">
        <f t="shared" si="34"/>
        <v>1.0669454951766806</v>
      </c>
      <c r="BT63">
        <f t="shared" si="35"/>
        <v>-1.0218241223209361</v>
      </c>
      <c r="BU63">
        <f t="shared" si="36"/>
        <v>138.7825</v>
      </c>
      <c r="BV63">
        <f t="shared" si="37"/>
        <v>-47.634938999999996</v>
      </c>
      <c r="BW63">
        <f t="shared" si="38"/>
        <v>395.59831888837886</v>
      </c>
      <c r="BX63">
        <f t="shared" si="39"/>
        <v>1572.2980573732386</v>
      </c>
      <c r="BY63">
        <f t="shared" si="40"/>
        <v>2053</v>
      </c>
      <c r="BZ63">
        <v>1967.8963738831701</v>
      </c>
      <c r="CD63">
        <v>2052.0196068819</v>
      </c>
      <c r="CG63">
        <f t="shared" si="41"/>
        <v>260.33714775607996</v>
      </c>
      <c r="CH63">
        <f t="shared" si="42"/>
        <v>86.461443989263216</v>
      </c>
      <c r="CI63">
        <f t="shared" si="43"/>
        <v>160.69476337930146</v>
      </c>
      <c r="CJ63">
        <f t="shared" si="44"/>
        <v>199.57397421965106</v>
      </c>
      <c r="CK63">
        <f t="shared" si="45"/>
        <v>45.060615494190188</v>
      </c>
      <c r="CL63">
        <f t="shared" si="46"/>
        <v>62.681638354475595</v>
      </c>
      <c r="CM63">
        <f t="shared" si="47"/>
        <v>185.25263301293259</v>
      </c>
      <c r="CN63">
        <f t="shared" si="48"/>
        <v>49.051119082785654</v>
      </c>
      <c r="CO63">
        <f t="shared" si="49"/>
        <v>597.54294517228254</v>
      </c>
      <c r="CP63">
        <f t="shared" si="50"/>
        <v>405.78131609937122</v>
      </c>
      <c r="CQ63">
        <f t="shared" si="51"/>
        <v>146.76877134391557</v>
      </c>
      <c r="CR63">
        <f t="shared" si="52"/>
        <v>15.24997812840104</v>
      </c>
      <c r="CS63">
        <f t="shared" si="53"/>
        <v>50.365784670922658</v>
      </c>
      <c r="CT63">
        <f t="shared" si="54"/>
        <v>23.031313744893197</v>
      </c>
      <c r="CU63">
        <f t="shared" si="55"/>
        <v>0</v>
      </c>
      <c r="CV63">
        <f t="shared" si="56"/>
        <v>48.204025339805781</v>
      </c>
      <c r="CW63">
        <f t="shared" si="57"/>
        <v>-0.44175455790346752</v>
      </c>
      <c r="CX63">
        <f t="shared" si="58"/>
        <v>-499.39904329335315</v>
      </c>
      <c r="CY63">
        <f t="shared" si="59"/>
        <v>5.5098750000000001</v>
      </c>
      <c r="CZ63">
        <f t="shared" si="60"/>
        <v>4.5345959999999996</v>
      </c>
      <c r="DA63">
        <v>9105.7624535520699</v>
      </c>
      <c r="DB63">
        <f t="shared" si="71"/>
        <v>2370568.2253021505</v>
      </c>
      <c r="DC63">
        <f t="shared" si="72"/>
        <v>787297.37035732833</v>
      </c>
      <c r="DD63">
        <f t="shared" si="73"/>
        <v>1463248.3428616775</v>
      </c>
      <c r="DE63">
        <f t="shared" si="74"/>
        <v>1817273.2011554674</v>
      </c>
      <c r="DF63">
        <f t="shared" si="75"/>
        <v>410311.26070094365</v>
      </c>
      <c r="DG63">
        <f t="shared" si="76"/>
        <v>570764.10905531328</v>
      </c>
      <c r="DH63">
        <f t="shared" si="77"/>
        <v>1686866.4701108222</v>
      </c>
      <c r="DI63">
        <f t="shared" si="78"/>
        <v>446647.83844874107</v>
      </c>
    </row>
    <row r="64" spans="1:113" x14ac:dyDescent="0.3">
      <c r="A64" s="1">
        <v>45713</v>
      </c>
      <c r="B64">
        <v>9</v>
      </c>
      <c r="C64">
        <v>0</v>
      </c>
      <c r="D64">
        <v>0.58252427184466005</v>
      </c>
      <c r="E64">
        <v>0.88545602565320902</v>
      </c>
      <c r="F64">
        <v>0.46472317204376801</v>
      </c>
      <c r="G64">
        <v>1.00670277441316</v>
      </c>
      <c r="H64">
        <v>0.98313731870618803</v>
      </c>
      <c r="I64">
        <v>0.86791019425247695</v>
      </c>
      <c r="J64">
        <v>4.31477670932192E-2</v>
      </c>
      <c r="K64">
        <v>15.124662722968599</v>
      </c>
      <c r="L64">
        <v>0.99462934266484804</v>
      </c>
      <c r="M64">
        <v>10.094070561617899</v>
      </c>
      <c r="N64">
        <v>1.5957343408995499</v>
      </c>
      <c r="O64">
        <v>0.610993145070439</v>
      </c>
      <c r="P64">
        <v>1.98981754602008</v>
      </c>
      <c r="Q64">
        <v>0.71323858740252499</v>
      </c>
      <c r="R64">
        <v>0.49829549405743101</v>
      </c>
      <c r="S64">
        <v>2.37389758132699</v>
      </c>
      <c r="T64">
        <v>0.80809328525656299</v>
      </c>
      <c r="U64">
        <v>12</v>
      </c>
      <c r="V64">
        <v>143</v>
      </c>
      <c r="W64">
        <v>1990</v>
      </c>
      <c r="X64">
        <v>9060.3249697184401</v>
      </c>
      <c r="Y64">
        <f t="shared" si="8"/>
        <v>18030046.689739697</v>
      </c>
      <c r="Z64">
        <f t="shared" si="70"/>
        <v>19.161798755211745</v>
      </c>
      <c r="AA64">
        <f t="shared" si="80"/>
        <v>3.1096858472779561</v>
      </c>
      <c r="AB64">
        <f t="shared" si="81"/>
        <v>3.4153885992753392</v>
      </c>
      <c r="AC64">
        <f t="shared" si="82"/>
        <v>3.9474561424409544</v>
      </c>
      <c r="AD64">
        <f t="shared" si="83"/>
        <v>1.1801371631778501</v>
      </c>
      <c r="AE64">
        <f t="shared" si="84"/>
        <v>1.2858933581787824</v>
      </c>
      <c r="AF64">
        <f t="shared" si="85"/>
        <v>14.777839533533877</v>
      </c>
      <c r="AG64">
        <f t="shared" si="86"/>
        <v>2.0413465797759756</v>
      </c>
      <c r="AH64">
        <f t="shared" si="87"/>
        <v>14.752361412031716</v>
      </c>
      <c r="AI64">
        <f t="shared" si="89"/>
        <v>6.9687240579263854</v>
      </c>
      <c r="AJ64">
        <f t="shared" si="89"/>
        <v>4.6296050148216619</v>
      </c>
      <c r="AK64">
        <f t="shared" si="89"/>
        <v>3.6948385064954095</v>
      </c>
      <c r="AL64">
        <f t="shared" si="89"/>
        <v>2.5944664113759068</v>
      </c>
      <c r="AM64">
        <f t="shared" si="89"/>
        <v>2.3895751703221002</v>
      </c>
      <c r="AN64">
        <f t="shared" si="89"/>
        <v>6.5870344778956778</v>
      </c>
      <c r="AO64">
        <f t="shared" si="89"/>
        <v>3.6424813908642166</v>
      </c>
      <c r="AP64">
        <f t="shared" si="10"/>
        <v>0.60310625052546896</v>
      </c>
      <c r="AQ64">
        <f t="shared" si="11"/>
        <v>0.24422115471160058</v>
      </c>
      <c r="AR64">
        <f t="shared" si="12"/>
        <v>0.39875786249144729</v>
      </c>
      <c r="AS64">
        <f t="shared" si="13"/>
        <v>0.52065527230894948</v>
      </c>
      <c r="AT64">
        <f t="shared" si="14"/>
        <v>0.27196262202201521</v>
      </c>
      <c r="AU64">
        <f t="shared" si="15"/>
        <v>0.28302761558125089</v>
      </c>
      <c r="AV64">
        <f t="shared" si="16"/>
        <v>0.77065939146946782</v>
      </c>
      <c r="AW64">
        <f t="shared" si="17"/>
        <v>0.31394825250679392</v>
      </c>
      <c r="BC64">
        <f t="shared" si="18"/>
        <v>109.8154448691415</v>
      </c>
      <c r="BD64">
        <f t="shared" si="19"/>
        <v>30.388703749159632</v>
      </c>
      <c r="BE64">
        <f t="shared" si="20"/>
        <v>43.512777360114583</v>
      </c>
      <c r="BF64">
        <f t="shared" si="21"/>
        <v>37.62880565014148</v>
      </c>
      <c r="BG64">
        <f t="shared" si="22"/>
        <v>6.3598777356116027</v>
      </c>
      <c r="BH64">
        <f t="shared" si="23"/>
        <v>34.674801426040958</v>
      </c>
      <c r="BI64">
        <f t="shared" si="24"/>
        <v>71.178595388789986</v>
      </c>
      <c r="BJ64">
        <f t="shared" si="25"/>
        <v>31.526337545757983</v>
      </c>
      <c r="BK64">
        <f t="shared" si="26"/>
        <v>3.6242417318953359</v>
      </c>
      <c r="BL64">
        <f t="shared" si="27"/>
        <v>-1.7349886337747893</v>
      </c>
      <c r="BM64">
        <f t="shared" si="28"/>
        <v>16.895107835241081</v>
      </c>
      <c r="BN64">
        <f t="shared" si="29"/>
        <v>0.13032903864254722</v>
      </c>
      <c r="BO64">
        <f t="shared" si="30"/>
        <v>4.3216319425652321</v>
      </c>
      <c r="BP64">
        <f t="shared" si="31"/>
        <v>-11.706699686387088</v>
      </c>
      <c r="BQ64">
        <f t="shared" si="32"/>
        <v>0</v>
      </c>
      <c r="BR64">
        <f t="shared" si="33"/>
        <v>73.43147592233008</v>
      </c>
      <c r="BS64">
        <f t="shared" si="34"/>
        <v>1.4774829274186334</v>
      </c>
      <c r="BT64">
        <f t="shared" si="35"/>
        <v>-1.0216663520865066</v>
      </c>
      <c r="BU64">
        <f t="shared" si="36"/>
        <v>158.76718</v>
      </c>
      <c r="BV64">
        <f t="shared" si="37"/>
        <v>-51.965387999999997</v>
      </c>
      <c r="BW64">
        <f t="shared" si="38"/>
        <v>365.08534372475771</v>
      </c>
      <c r="BX64">
        <f t="shared" si="39"/>
        <v>1592.4679528020747</v>
      </c>
      <c r="BY64">
        <f t="shared" si="40"/>
        <v>1990</v>
      </c>
      <c r="BZ64">
        <v>1957.55329349516</v>
      </c>
      <c r="CD64">
        <v>1976.35277584295</v>
      </c>
      <c r="CG64">
        <f t="shared" si="41"/>
        <v>308.07213389550805</v>
      </c>
      <c r="CH64">
        <f t="shared" si="42"/>
        <v>88.945679128946892</v>
      </c>
      <c r="CI64">
        <f t="shared" si="43"/>
        <v>106.97750126814931</v>
      </c>
      <c r="CJ64">
        <f t="shared" si="44"/>
        <v>154.94615776777314</v>
      </c>
      <c r="CK64">
        <f t="shared" si="45"/>
        <v>40.401230266813535</v>
      </c>
      <c r="CL64">
        <f t="shared" si="46"/>
        <v>50.887953759355852</v>
      </c>
      <c r="CM64">
        <f t="shared" si="47"/>
        <v>175.12375540054046</v>
      </c>
      <c r="CN64">
        <f t="shared" si="48"/>
        <v>45.045263560901283</v>
      </c>
      <c r="CO64">
        <f t="shared" si="49"/>
        <v>594.56122364708142</v>
      </c>
      <c r="CP64">
        <f t="shared" si="50"/>
        <v>406.82221658179674</v>
      </c>
      <c r="CQ64">
        <f t="shared" si="51"/>
        <v>146.51054512201293</v>
      </c>
      <c r="CR64">
        <f t="shared" si="52"/>
        <v>18.932633974376927</v>
      </c>
      <c r="CS64">
        <f t="shared" si="53"/>
        <v>54.189018001214585</v>
      </c>
      <c r="CT64">
        <f t="shared" si="54"/>
        <v>18.841488125168659</v>
      </c>
      <c r="CU64">
        <f t="shared" si="55"/>
        <v>0</v>
      </c>
      <c r="CV64">
        <f t="shared" si="56"/>
        <v>49.021042718446587</v>
      </c>
      <c r="CW64">
        <f t="shared" si="57"/>
        <v>-0.61173210849318804</v>
      </c>
      <c r="CX64">
        <f t="shared" si="58"/>
        <v>-499.321935792744</v>
      </c>
      <c r="CY64">
        <f t="shared" si="59"/>
        <v>6.3032969999999997</v>
      </c>
      <c r="CZ64">
        <f t="shared" si="60"/>
        <v>4.9468319999999997</v>
      </c>
      <c r="DA64">
        <v>9060.3249697184401</v>
      </c>
      <c r="DB64">
        <f t="shared" si="71"/>
        <v>2791233.6472079144</v>
      </c>
      <c r="DC64">
        <f t="shared" si="72"/>
        <v>805876.75756056188</v>
      </c>
      <c r="DD64">
        <f t="shared" si="73"/>
        <v>969250.92593789927</v>
      </c>
      <c r="DE64">
        <f t="shared" si="74"/>
        <v>1403862.5421852879</v>
      </c>
      <c r="DF64">
        <f t="shared" si="75"/>
        <v>366048.27539375506</v>
      </c>
      <c r="DG64">
        <f t="shared" si="76"/>
        <v>461061.39810376917</v>
      </c>
      <c r="DH64">
        <f t="shared" si="77"/>
        <v>1586678.1338463812</v>
      </c>
      <c r="DI64">
        <f t="shared" si="78"/>
        <v>408124.72620838205</v>
      </c>
    </row>
    <row r="65" spans="1:113" x14ac:dyDescent="0.3">
      <c r="A65" s="1">
        <v>45720</v>
      </c>
      <c r="B65">
        <v>10</v>
      </c>
      <c r="C65">
        <v>0</v>
      </c>
      <c r="D65">
        <v>0.59223300970873705</v>
      </c>
      <c r="E65">
        <v>0.93501624268541395</v>
      </c>
      <c r="F65">
        <v>0.35460488704253501</v>
      </c>
      <c r="G65">
        <v>1.0056981193232</v>
      </c>
      <c r="H65">
        <v>0.98042853717192702</v>
      </c>
      <c r="I65">
        <v>0.868835795387224</v>
      </c>
      <c r="J65">
        <v>4.2933775757911297E-2</v>
      </c>
      <c r="K65">
        <v>16.283627777489698</v>
      </c>
      <c r="L65">
        <v>0.99365349723423901</v>
      </c>
      <c r="M65">
        <v>8.0944505484591893</v>
      </c>
      <c r="N65">
        <v>2.2360634821163399</v>
      </c>
      <c r="O65">
        <v>3.2040535637554899</v>
      </c>
      <c r="P65">
        <v>1.99137895875327</v>
      </c>
      <c r="Q65">
        <v>0.50124481628494399</v>
      </c>
      <c r="R65">
        <v>0.77674394210278397</v>
      </c>
      <c r="S65">
        <v>0.67396726515990901</v>
      </c>
      <c r="T65">
        <v>0.58839673988171404</v>
      </c>
      <c r="U65">
        <v>11</v>
      </c>
      <c r="V65">
        <v>124</v>
      </c>
      <c r="W65">
        <v>1983</v>
      </c>
      <c r="X65">
        <v>9051.2830739088204</v>
      </c>
      <c r="Y65">
        <f t="shared" si="8"/>
        <v>17948694.33556119</v>
      </c>
      <c r="Z65">
        <f t="shared" si="70"/>
        <v>19.591529801586233</v>
      </c>
      <c r="AA65">
        <f t="shared" si="80"/>
        <v>3.7909064057553179</v>
      </c>
      <c r="AB65">
        <f t="shared" si="81"/>
        <v>4.7409784334293921</v>
      </c>
      <c r="AC65">
        <f t="shared" si="82"/>
        <v>3.1756158014855562</v>
      </c>
      <c r="AD65">
        <f t="shared" si="83"/>
        <v>0.91429282339719153</v>
      </c>
      <c r="AE65">
        <f t="shared" si="84"/>
        <v>1.4196906211921752</v>
      </c>
      <c r="AF65">
        <f t="shared" si="85"/>
        <v>11.018454938633623</v>
      </c>
      <c r="AG65">
        <f t="shared" si="86"/>
        <v>1.7111373587585006</v>
      </c>
      <c r="AH65">
        <f t="shared" si="87"/>
        <v>14.752361412031716</v>
      </c>
      <c r="AI65">
        <f t="shared" si="89"/>
        <v>6.9687240579263854</v>
      </c>
      <c r="AJ65">
        <f t="shared" si="89"/>
        <v>4.6296050148216619</v>
      </c>
      <c r="AK65">
        <f t="shared" si="89"/>
        <v>3.6948385064954095</v>
      </c>
      <c r="AL65">
        <f t="shared" si="89"/>
        <v>2.5944664113759068</v>
      </c>
      <c r="AM65">
        <f t="shared" si="89"/>
        <v>2.3895751703221002</v>
      </c>
      <c r="AN65">
        <f t="shared" si="89"/>
        <v>6.5870344778956778</v>
      </c>
      <c r="AO65">
        <f t="shared" si="89"/>
        <v>3.6424813908642166</v>
      </c>
      <c r="AP65">
        <f t="shared" si="10"/>
        <v>0.61156862192267736</v>
      </c>
      <c r="AQ65">
        <f t="shared" si="11"/>
        <v>0.29893848967169401</v>
      </c>
      <c r="AR65">
        <f t="shared" si="12"/>
        <v>0.50802235489830028</v>
      </c>
      <c r="AS65">
        <f t="shared" si="13"/>
        <v>0.45281727931802124</v>
      </c>
      <c r="AT65">
        <f t="shared" si="14"/>
        <v>0.21353766953737091</v>
      </c>
      <c r="AU65">
        <f t="shared" si="15"/>
        <v>0.31410118610490595</v>
      </c>
      <c r="AV65">
        <f t="shared" si="16"/>
        <v>0.68388906727566945</v>
      </c>
      <c r="AW65">
        <f t="shared" si="17"/>
        <v>0.26504020097840886</v>
      </c>
      <c r="BC65">
        <f t="shared" si="18"/>
        <v>111.35629953417386</v>
      </c>
      <c r="BD65">
        <f t="shared" si="19"/>
        <v>37.197241215987162</v>
      </c>
      <c r="BE65">
        <f t="shared" si="20"/>
        <v>55.435806292408799</v>
      </c>
      <c r="BF65">
        <f t="shared" si="21"/>
        <v>32.726017203131221</v>
      </c>
      <c r="BG65">
        <f t="shared" si="22"/>
        <v>4.993603386038755</v>
      </c>
      <c r="BH65">
        <f t="shared" si="23"/>
        <v>38.481744028772603</v>
      </c>
      <c r="BI65">
        <f t="shared" si="24"/>
        <v>63.164432626472951</v>
      </c>
      <c r="BJ65">
        <f t="shared" si="25"/>
        <v>26.615044907950338</v>
      </c>
      <c r="BK65">
        <f t="shared" si="26"/>
        <v>3.6206248620547647</v>
      </c>
      <c r="BL65">
        <f t="shared" si="27"/>
        <v>-1.7302083196885467</v>
      </c>
      <c r="BM65">
        <f t="shared" si="28"/>
        <v>16.913125979384947</v>
      </c>
      <c r="BN65">
        <f t="shared" si="29"/>
        <v>0.1296826718224923</v>
      </c>
      <c r="BO65">
        <f t="shared" si="30"/>
        <v>4.563519750431059</v>
      </c>
      <c r="BP65">
        <f t="shared" si="31"/>
        <v>-8.9327435549979519</v>
      </c>
      <c r="BQ65">
        <f t="shared" si="32"/>
        <v>0</v>
      </c>
      <c r="BR65">
        <f t="shared" si="33"/>
        <v>74.655333854368834</v>
      </c>
      <c r="BS65">
        <f t="shared" si="34"/>
        <v>1.5906987466996361</v>
      </c>
      <c r="BT65">
        <f t="shared" si="35"/>
        <v>-1.0206639802495574</v>
      </c>
      <c r="BU65">
        <f t="shared" si="36"/>
        <v>137.67224000000002</v>
      </c>
      <c r="BV65">
        <f t="shared" si="37"/>
        <v>-47.634938999999996</v>
      </c>
      <c r="BW65">
        <f t="shared" si="38"/>
        <v>369.9701891949357</v>
      </c>
      <c r="BX65">
        <f t="shared" si="39"/>
        <v>1580.0759170860558</v>
      </c>
      <c r="BY65">
        <f t="shared" si="40"/>
        <v>1983</v>
      </c>
      <c r="BZ65">
        <v>1950.04610288863</v>
      </c>
      <c r="CD65">
        <v>1976.8278638815</v>
      </c>
      <c r="CG65">
        <f t="shared" si="41"/>
        <v>312.39478983197512</v>
      </c>
      <c r="CH65">
        <f t="shared" si="42"/>
        <v>108.8738074841618</v>
      </c>
      <c r="CI65">
        <f t="shared" si="43"/>
        <v>136.29063456158627</v>
      </c>
      <c r="CJ65">
        <f t="shared" si="44"/>
        <v>134.75768196879145</v>
      </c>
      <c r="CK65">
        <f t="shared" si="45"/>
        <v>31.721949485101266</v>
      </c>
      <c r="CL65">
        <f t="shared" si="46"/>
        <v>56.474936558537486</v>
      </c>
      <c r="CM65">
        <f t="shared" si="47"/>
        <v>155.40616654307391</v>
      </c>
      <c r="CN65">
        <f t="shared" si="48"/>
        <v>38.0279412673218</v>
      </c>
      <c r="CO65">
        <f t="shared" si="49"/>
        <v>593.96787179108992</v>
      </c>
      <c r="CP65">
        <f t="shared" si="50"/>
        <v>405.7013227991722</v>
      </c>
      <c r="CQ65">
        <f t="shared" si="51"/>
        <v>146.6667943834174</v>
      </c>
      <c r="CR65">
        <f t="shared" si="52"/>
        <v>18.83873758302208</v>
      </c>
      <c r="CS65">
        <f t="shared" si="53"/>
        <v>57.222053426007193</v>
      </c>
      <c r="CT65">
        <f t="shared" si="54"/>
        <v>14.376911181242859</v>
      </c>
      <c r="CU65">
        <f t="shared" si="55"/>
        <v>0</v>
      </c>
      <c r="CV65">
        <f t="shared" si="56"/>
        <v>49.838060097087308</v>
      </c>
      <c r="CW65">
        <f t="shared" si="57"/>
        <v>-0.65860760908834837</v>
      </c>
      <c r="CX65">
        <f t="shared" si="58"/>
        <v>-498.83204372084839</v>
      </c>
      <c r="CY65">
        <f t="shared" si="59"/>
        <v>5.4657960000000001</v>
      </c>
      <c r="CZ65">
        <f t="shared" si="60"/>
        <v>4.5345959999999996</v>
      </c>
      <c r="DA65">
        <v>9051.2830739088204</v>
      </c>
      <c r="DB65">
        <f t="shared" si="71"/>
        <v>2827573.6735834596</v>
      </c>
      <c r="DC65">
        <f t="shared" si="72"/>
        <v>985447.6508734012</v>
      </c>
      <c r="DD65">
        <f t="shared" si="73"/>
        <v>1233605.1137395783</v>
      </c>
      <c r="DE65">
        <f t="shared" si="74"/>
        <v>1219729.9258833099</v>
      </c>
      <c r="DF65">
        <f t="shared" si="75"/>
        <v>287124.34444588772</v>
      </c>
      <c r="DG65">
        <f t="shared" si="76"/>
        <v>511170.63737236481</v>
      </c>
      <c r="DH65">
        <f t="shared" si="77"/>
        <v>1406625.20481238</v>
      </c>
      <c r="DI65">
        <f t="shared" si="78"/>
        <v>344201.66112850857</v>
      </c>
    </row>
    <row r="66" spans="1:113" x14ac:dyDescent="0.3">
      <c r="A66" s="1">
        <v>45727</v>
      </c>
      <c r="B66">
        <v>11</v>
      </c>
      <c r="C66">
        <v>0</v>
      </c>
      <c r="D66">
        <v>0.60194174757281504</v>
      </c>
      <c r="E66">
        <v>0.97094181742605201</v>
      </c>
      <c r="F66">
        <v>0.23931566428755799</v>
      </c>
      <c r="G66">
        <v>1.0061863785185099</v>
      </c>
      <c r="H66">
        <v>0.98322325621054996</v>
      </c>
      <c r="I66">
        <v>0.86307568180049299</v>
      </c>
      <c r="J66">
        <v>1.50116622791061E-2</v>
      </c>
      <c r="K66">
        <v>5.5549180081699197</v>
      </c>
      <c r="L66">
        <v>0.99264217854165204</v>
      </c>
      <c r="M66">
        <v>7.4563910565153799</v>
      </c>
      <c r="N66">
        <v>1.6007711673422</v>
      </c>
      <c r="O66">
        <v>6.0660278940724801</v>
      </c>
      <c r="P66">
        <v>1.3317970371216199</v>
      </c>
      <c r="Q66">
        <v>1.6222019884382</v>
      </c>
      <c r="R66">
        <v>0.71333029442381202</v>
      </c>
      <c r="S66">
        <v>1.0948869136809301</v>
      </c>
      <c r="T66">
        <v>2.05635087775544</v>
      </c>
      <c r="U66">
        <v>8</v>
      </c>
      <c r="V66">
        <v>119</v>
      </c>
      <c r="W66">
        <v>1969</v>
      </c>
      <c r="X66">
        <v>9055.6774066666603</v>
      </c>
      <c r="Y66">
        <f t="shared" si="8"/>
        <v>17830628.813726652</v>
      </c>
      <c r="Z66">
        <f t="shared" si="70"/>
        <v>19.21130893746712</v>
      </c>
      <c r="AA66">
        <f t="shared" si="80"/>
        <v>3.496224370219859</v>
      </c>
      <c r="AB66">
        <f t="shared" si="81"/>
        <v>8.1994681891157057</v>
      </c>
      <c r="AC66">
        <f t="shared" si="82"/>
        <v>2.2844817775672865</v>
      </c>
      <c r="AD66">
        <f t="shared" si="83"/>
        <v>1.9422044766272171</v>
      </c>
      <c r="AE66">
        <f t="shared" si="84"/>
        <v>1.4231756050198996</v>
      </c>
      <c r="AF66">
        <f t="shared" si="85"/>
        <v>8.8078053707244663</v>
      </c>
      <c r="AG66">
        <f t="shared" si="86"/>
        <v>2.9974764250726151</v>
      </c>
      <c r="AH66">
        <f t="shared" si="87"/>
        <v>14.752361412031716</v>
      </c>
      <c r="AI66">
        <f t="shared" si="89"/>
        <v>6.9687240579263854</v>
      </c>
      <c r="AJ66">
        <f t="shared" si="89"/>
        <v>4.6296050148216619</v>
      </c>
      <c r="AK66">
        <f t="shared" si="89"/>
        <v>3.6948385064954095</v>
      </c>
      <c r="AL66">
        <f t="shared" si="89"/>
        <v>2.5944664113759068</v>
      </c>
      <c r="AM66">
        <f t="shared" si="89"/>
        <v>2.3895751703221002</v>
      </c>
      <c r="AN66">
        <f t="shared" si="89"/>
        <v>6.5870344778956778</v>
      </c>
      <c r="AO66">
        <f t="shared" si="89"/>
        <v>3.6424813908642166</v>
      </c>
      <c r="AP66">
        <f t="shared" si="10"/>
        <v>0.60409412190808476</v>
      </c>
      <c r="AQ66">
        <f t="shared" si="11"/>
        <v>0.27574881428867015</v>
      </c>
      <c r="AR66">
        <f t="shared" si="12"/>
        <v>0.68387921682359687</v>
      </c>
      <c r="AS66">
        <f t="shared" si="13"/>
        <v>0.354115617002145</v>
      </c>
      <c r="AT66">
        <f t="shared" si="14"/>
        <v>0.41048844967138998</v>
      </c>
      <c r="AU66">
        <f t="shared" si="15"/>
        <v>0.31489403781375064</v>
      </c>
      <c r="AV66">
        <f t="shared" si="16"/>
        <v>0.6072584181854157</v>
      </c>
      <c r="AW66">
        <f t="shared" si="17"/>
        <v>0.43459998225249991</v>
      </c>
      <c r="BC66">
        <f t="shared" si="18"/>
        <v>109.99531953510778</v>
      </c>
      <c r="BD66">
        <f t="shared" si="19"/>
        <v>34.311724700900363</v>
      </c>
      <c r="BE66">
        <f t="shared" si="20"/>
        <v>74.625447927043567</v>
      </c>
      <c r="BF66">
        <f t="shared" si="21"/>
        <v>25.592649183713277</v>
      </c>
      <c r="BG66">
        <f t="shared" si="22"/>
        <v>9.5993204227140669</v>
      </c>
      <c r="BH66">
        <f t="shared" si="23"/>
        <v>38.578879340137988</v>
      </c>
      <c r="BI66">
        <f t="shared" si="24"/>
        <v>56.086776756251055</v>
      </c>
      <c r="BJ66">
        <f t="shared" si="25"/>
        <v>43.642051288615598</v>
      </c>
      <c r="BK66">
        <f t="shared" si="26"/>
        <v>3.6223826493546514</v>
      </c>
      <c r="BL66">
        <f t="shared" si="27"/>
        <v>-1.7351402917277994</v>
      </c>
      <c r="BM66">
        <f t="shared" si="28"/>
        <v>16.800997166017481</v>
      </c>
      <c r="BN66">
        <f t="shared" si="29"/>
        <v>4.534314624058379E-2</v>
      </c>
      <c r="BO66">
        <f t="shared" si="30"/>
        <v>4.7388611641840708</v>
      </c>
      <c r="BP66">
        <f t="shared" si="31"/>
        <v>-6.0285279077902656</v>
      </c>
      <c r="BQ66">
        <f t="shared" si="32"/>
        <v>0</v>
      </c>
      <c r="BR66">
        <f t="shared" si="33"/>
        <v>75.879191786407702</v>
      </c>
      <c r="BS66">
        <f t="shared" si="34"/>
        <v>0.54264327546409497</v>
      </c>
      <c r="BT66">
        <f t="shared" si="35"/>
        <v>-1.0196251708809498</v>
      </c>
      <c r="BU66">
        <f t="shared" si="36"/>
        <v>132.12093999999999</v>
      </c>
      <c r="BV66">
        <f t="shared" si="37"/>
        <v>-34.643591999999998</v>
      </c>
      <c r="BW66">
        <f t="shared" si="38"/>
        <v>392.43216915448369</v>
      </c>
      <c r="BX66">
        <f t="shared" si="39"/>
        <v>1590.5727198934997</v>
      </c>
      <c r="BY66">
        <f t="shared" si="40"/>
        <v>1969</v>
      </c>
      <c r="BZ66">
        <v>1983.00488824577</v>
      </c>
      <c r="CD66">
        <v>2004.7309517736401</v>
      </c>
      <c r="CG66">
        <f t="shared" si="41"/>
        <v>308.57674754292356</v>
      </c>
      <c r="CH66">
        <f t="shared" si="42"/>
        <v>100.42809593980924</v>
      </c>
      <c r="CI66">
        <f t="shared" si="43"/>
        <v>183.46895865050547</v>
      </c>
      <c r="CJ66">
        <f t="shared" si="44"/>
        <v>105.38422864080455</v>
      </c>
      <c r="CK66">
        <f t="shared" si="45"/>
        <v>60.979844412952602</v>
      </c>
      <c r="CL66">
        <f t="shared" si="46"/>
        <v>56.617490142981381</v>
      </c>
      <c r="CM66">
        <f t="shared" si="47"/>
        <v>137.9927058157898</v>
      </c>
      <c r="CN66">
        <f t="shared" si="48"/>
        <v>62.356361558990471</v>
      </c>
      <c r="CO66">
        <f t="shared" si="49"/>
        <v>594.25623891592431</v>
      </c>
      <c r="CP66">
        <f t="shared" si="50"/>
        <v>406.85777752058607</v>
      </c>
      <c r="CQ66">
        <f t="shared" si="51"/>
        <v>145.69443873286124</v>
      </c>
      <c r="CR66">
        <f t="shared" si="52"/>
        <v>6.586906494216735</v>
      </c>
      <c r="CS66">
        <f t="shared" si="53"/>
        <v>59.420662459006053</v>
      </c>
      <c r="CT66">
        <f t="shared" si="54"/>
        <v>9.7026864983100225</v>
      </c>
      <c r="CU66">
        <f t="shared" si="55"/>
        <v>0</v>
      </c>
      <c r="CV66">
        <f t="shared" si="56"/>
        <v>50.655077475728113</v>
      </c>
      <c r="CW66">
        <f t="shared" si="57"/>
        <v>-0.22467421375844057</v>
      </c>
      <c r="CX66">
        <f t="shared" si="58"/>
        <v>-498.32434342926746</v>
      </c>
      <c r="CY66">
        <f t="shared" si="59"/>
        <v>5.2454010000000002</v>
      </c>
      <c r="CZ66">
        <f t="shared" si="60"/>
        <v>3.2978879999999999</v>
      </c>
      <c r="DA66">
        <v>9055.6774066666603</v>
      </c>
      <c r="DB66">
        <f t="shared" si="71"/>
        <v>2794371.4809471346</v>
      </c>
      <c r="DC66">
        <f t="shared" si="72"/>
        <v>909444.43939668231</v>
      </c>
      <c r="DD66">
        <f t="shared" si="73"/>
        <v>1661435.7036760421</v>
      </c>
      <c r="DE66">
        <f t="shared" si="74"/>
        <v>954325.57832152734</v>
      </c>
      <c r="DF66">
        <f t="shared" si="75"/>
        <v>552213.7993124231</v>
      </c>
      <c r="DG66">
        <f t="shared" si="76"/>
        <v>512709.72630996886</v>
      </c>
      <c r="DH66">
        <f t="shared" si="77"/>
        <v>1249617.4283408469</v>
      </c>
      <c r="DI66">
        <f t="shared" si="78"/>
        <v>564679.09453168744</v>
      </c>
    </row>
    <row r="67" spans="1:113" x14ac:dyDescent="0.3">
      <c r="A67" s="1">
        <v>45734</v>
      </c>
      <c r="B67">
        <v>12</v>
      </c>
      <c r="C67">
        <v>0</v>
      </c>
      <c r="D67">
        <v>0.61165048543689304</v>
      </c>
      <c r="E67">
        <v>0.99270887409805397</v>
      </c>
      <c r="F67">
        <v>0.12053668025532301</v>
      </c>
      <c r="G67">
        <v>1.00794504551259</v>
      </c>
      <c r="H67">
        <v>0.98437810910886703</v>
      </c>
      <c r="I67">
        <v>0.874912515432267</v>
      </c>
      <c r="J67">
        <v>3.4573969820905201E-2</v>
      </c>
      <c r="K67">
        <v>8.5356047713472805</v>
      </c>
      <c r="L67">
        <v>0.99157367294503396</v>
      </c>
      <c r="M67">
        <v>0.836403075873834</v>
      </c>
      <c r="N67">
        <v>2.2112499904344398</v>
      </c>
      <c r="O67">
        <v>2.4419894669402198</v>
      </c>
      <c r="P67">
        <v>1.53125230598503</v>
      </c>
      <c r="Q67">
        <v>0.64147358066864002</v>
      </c>
      <c r="R67">
        <v>0.23830298788082399</v>
      </c>
      <c r="S67">
        <v>1.4517689446769499</v>
      </c>
      <c r="T67">
        <v>3.52642732944153</v>
      </c>
      <c r="U67">
        <v>10</v>
      </c>
      <c r="V67">
        <v>112</v>
      </c>
      <c r="W67">
        <v>1916</v>
      </c>
      <c r="X67">
        <v>9071.5054096133608</v>
      </c>
      <c r="Y67">
        <f t="shared" si="8"/>
        <v>17381004.364819199</v>
      </c>
      <c r="Z67">
        <f t="shared" si="70"/>
        <v>12.363188438354106</v>
      </c>
      <c r="AA67">
        <f t="shared" si="80"/>
        <v>3.9593621755443693</v>
      </c>
      <c r="AB67">
        <f t="shared" si="81"/>
        <v>6.1317501520422875</v>
      </c>
      <c r="AC67">
        <f t="shared" si="82"/>
        <v>2.216596839255216</v>
      </c>
      <c r="AD67">
        <f t="shared" si="83"/>
        <v>1.3212451474881659</v>
      </c>
      <c r="AE67">
        <f t="shared" si="84"/>
        <v>0.94989079039077384</v>
      </c>
      <c r="AF67">
        <f t="shared" si="85"/>
        <v>7.6172327041840759</v>
      </c>
      <c r="AG67">
        <f t="shared" si="86"/>
        <v>5.175039363231468</v>
      </c>
      <c r="AH67">
        <f t="shared" si="87"/>
        <v>14.752361412031716</v>
      </c>
      <c r="AI67">
        <f t="shared" si="89"/>
        <v>6.9687240579263854</v>
      </c>
      <c r="AJ67">
        <f t="shared" si="89"/>
        <v>4.6296050148216619</v>
      </c>
      <c r="AK67">
        <f t="shared" si="89"/>
        <v>3.6948385064954095</v>
      </c>
      <c r="AL67">
        <f t="shared" si="89"/>
        <v>2.5944664113759068</v>
      </c>
      <c r="AM67">
        <f t="shared" si="89"/>
        <v>2.3895751703221002</v>
      </c>
      <c r="AN67">
        <f t="shared" si="89"/>
        <v>6.5870344778956778</v>
      </c>
      <c r="AO67">
        <f t="shared" si="89"/>
        <v>3.6424813908642166</v>
      </c>
      <c r="AP67">
        <f t="shared" si="10"/>
        <v>0.42979498583357806</v>
      </c>
      <c r="AQ67">
        <f t="shared" si="11"/>
        <v>0.31184906729446094</v>
      </c>
      <c r="AR67">
        <f t="shared" si="12"/>
        <v>0.59371914159102135</v>
      </c>
      <c r="AS67">
        <f t="shared" si="13"/>
        <v>0.34553939587013965</v>
      </c>
      <c r="AT67">
        <f t="shared" si="14"/>
        <v>0.30079650284396098</v>
      </c>
      <c r="AU67">
        <f t="shared" si="15"/>
        <v>0.20040167450943519</v>
      </c>
      <c r="AV67">
        <f t="shared" si="16"/>
        <v>0.55427649788014388</v>
      </c>
      <c r="AW67">
        <f t="shared" si="17"/>
        <v>0.61635262907458721</v>
      </c>
      <c r="BC67">
        <f t="shared" si="18"/>
        <v>78.258395648724232</v>
      </c>
      <c r="BD67">
        <f t="shared" si="19"/>
        <v>38.803718423385924</v>
      </c>
      <c r="BE67">
        <f t="shared" si="20"/>
        <v>64.787108299444668</v>
      </c>
      <c r="BF67">
        <f t="shared" si="21"/>
        <v>24.972828401417669</v>
      </c>
      <c r="BG67">
        <f t="shared" si="22"/>
        <v>7.0341614121968608</v>
      </c>
      <c r="BH67">
        <f t="shared" si="23"/>
        <v>24.551979688589395</v>
      </c>
      <c r="BI67">
        <f t="shared" si="24"/>
        <v>51.19333263544523</v>
      </c>
      <c r="BJ67">
        <f t="shared" si="25"/>
        <v>61.893451791072806</v>
      </c>
      <c r="BK67">
        <f t="shared" si="26"/>
        <v>3.6287140457453759</v>
      </c>
      <c r="BL67">
        <f t="shared" si="27"/>
        <v>-1.7371783149155458</v>
      </c>
      <c r="BM67">
        <f t="shared" si="28"/>
        <v>17.031417988311052</v>
      </c>
      <c r="BN67">
        <f t="shared" si="29"/>
        <v>0.10443164391519914</v>
      </c>
      <c r="BO67">
        <f t="shared" si="30"/>
        <v>4.8450993111772602</v>
      </c>
      <c r="BP67">
        <f t="shared" si="31"/>
        <v>-3.0364027486243641</v>
      </c>
      <c r="BQ67">
        <f t="shared" si="32"/>
        <v>0</v>
      </c>
      <c r="BR67">
        <f t="shared" si="33"/>
        <v>77.103049718446584</v>
      </c>
      <c r="BS67">
        <f t="shared" si="34"/>
        <v>0.83381762329860176</v>
      </c>
      <c r="BT67">
        <f t="shared" si="35"/>
        <v>-1.0185276200966988</v>
      </c>
      <c r="BU67">
        <f t="shared" si="36"/>
        <v>124.34912</v>
      </c>
      <c r="BV67">
        <f t="shared" si="37"/>
        <v>-43.304490000000001</v>
      </c>
      <c r="BW67">
        <f t="shared" si="38"/>
        <v>351.49497630027679</v>
      </c>
      <c r="BX67">
        <f t="shared" si="39"/>
        <v>1579.0482977234874</v>
      </c>
      <c r="BY67">
        <f t="shared" si="40"/>
        <v>1916</v>
      </c>
      <c r="BZ67">
        <v>1930.5432723556501</v>
      </c>
      <c r="CD67">
        <v>1889.62610240308</v>
      </c>
      <c r="CG67">
        <f t="shared" si="41"/>
        <v>219.54317055738841</v>
      </c>
      <c r="CH67">
        <f t="shared" si="42"/>
        <v>113.57585754186486</v>
      </c>
      <c r="CI67">
        <f t="shared" si="43"/>
        <v>159.28109812214748</v>
      </c>
      <c r="CJ67">
        <f t="shared" si="44"/>
        <v>102.83195925404131</v>
      </c>
      <c r="CK67">
        <f t="shared" si="45"/>
        <v>44.684628661461275</v>
      </c>
      <c r="CL67">
        <f t="shared" si="46"/>
        <v>36.031929692761707</v>
      </c>
      <c r="CM67">
        <f t="shared" si="47"/>
        <v>125.95315506886433</v>
      </c>
      <c r="CN67">
        <f t="shared" si="48"/>
        <v>88.434212968006236</v>
      </c>
      <c r="CO67">
        <f t="shared" si="49"/>
        <v>595.29491212371158</v>
      </c>
      <c r="CP67">
        <f t="shared" si="50"/>
        <v>407.33565564298056</v>
      </c>
      <c r="CQ67">
        <f t="shared" si="51"/>
        <v>147.69259586869654</v>
      </c>
      <c r="CR67">
        <f t="shared" si="52"/>
        <v>15.170572193137218</v>
      </c>
      <c r="CS67">
        <f t="shared" si="53"/>
        <v>60.752784429673561</v>
      </c>
      <c r="CT67">
        <f t="shared" si="54"/>
        <v>4.8869747976845597</v>
      </c>
      <c r="CU67">
        <f t="shared" si="55"/>
        <v>0</v>
      </c>
      <c r="CV67">
        <f t="shared" si="56"/>
        <v>51.472094854368919</v>
      </c>
      <c r="CW67">
        <f t="shared" si="57"/>
        <v>-0.3452310705819121</v>
      </c>
      <c r="CX67">
        <f t="shared" si="58"/>
        <v>-497.78793427660838</v>
      </c>
      <c r="CY67">
        <f t="shared" si="59"/>
        <v>4.9368480000000003</v>
      </c>
      <c r="CZ67">
        <f t="shared" si="60"/>
        <v>4.1223599999999996</v>
      </c>
      <c r="DA67">
        <v>9071.5054096133608</v>
      </c>
      <c r="DB67">
        <f t="shared" si="71"/>
        <v>1991587.0593550177</v>
      </c>
      <c r="DC67">
        <f t="shared" si="72"/>
        <v>1030304.0060925036</v>
      </c>
      <c r="DD67">
        <f t="shared" si="73"/>
        <v>1444919.3432642175</v>
      </c>
      <c r="DE67">
        <f t="shared" si="74"/>
        <v>932840.67465417646</v>
      </c>
      <c r="DF67">
        <f t="shared" si="75"/>
        <v>405356.85062901018</v>
      </c>
      <c r="DG67">
        <f t="shared" si="76"/>
        <v>326863.84512669611</v>
      </c>
      <c r="DH67">
        <f t="shared" si="77"/>
        <v>1142584.7275650734</v>
      </c>
      <c r="DI67">
        <f t="shared" si="78"/>
        <v>802231.44133416854</v>
      </c>
    </row>
    <row r="68" spans="1:113" x14ac:dyDescent="0.3">
      <c r="A68" s="1">
        <v>45741</v>
      </c>
      <c r="B68">
        <v>13</v>
      </c>
      <c r="C68">
        <v>0</v>
      </c>
      <c r="D68">
        <v>0.62135922330097004</v>
      </c>
      <c r="E68">
        <v>1</v>
      </c>
      <c r="F68" s="2">
        <v>-1.6081226496766299E-16</v>
      </c>
      <c r="G68">
        <v>1.0100787252519701</v>
      </c>
      <c r="H68">
        <v>0.98390819541589303</v>
      </c>
      <c r="I68">
        <v>0.87223101751100995</v>
      </c>
      <c r="J68">
        <v>6.3418630664295497E-2</v>
      </c>
      <c r="K68">
        <v>8.4239339220445704</v>
      </c>
      <c r="L68">
        <v>0.99025440850204505</v>
      </c>
      <c r="M68">
        <v>5.4574088024281799</v>
      </c>
      <c r="N68">
        <v>1.60499552315384</v>
      </c>
      <c r="O68">
        <v>2.8329373312775399</v>
      </c>
      <c r="P68">
        <v>3.2501652315625602</v>
      </c>
      <c r="Q68">
        <v>0.613706034435895</v>
      </c>
      <c r="R68">
        <v>2.1298423117022298</v>
      </c>
      <c r="S68">
        <v>3.5016435067386298</v>
      </c>
      <c r="T68">
        <v>0.44051596599640302</v>
      </c>
      <c r="U68">
        <v>18</v>
      </c>
      <c r="V68">
        <v>147</v>
      </c>
      <c r="W68">
        <v>2000</v>
      </c>
      <c r="X68">
        <v>9090.7085272677705</v>
      </c>
      <c r="Y68">
        <f t="shared" si="8"/>
        <v>18181417.054535542</v>
      </c>
      <c r="Z68">
        <f t="shared" si="70"/>
        <v>12.875321865440643</v>
      </c>
      <c r="AA68">
        <f t="shared" si="80"/>
        <v>3.5846766109260244</v>
      </c>
      <c r="AB68">
        <f t="shared" si="81"/>
        <v>5.5922248996965696</v>
      </c>
      <c r="AC68">
        <f t="shared" si="82"/>
        <v>3.9151442833391252</v>
      </c>
      <c r="AD68">
        <f t="shared" si="83"/>
        <v>1.076141836056753</v>
      </c>
      <c r="AE68">
        <f t="shared" si="84"/>
        <v>2.6047877068976169</v>
      </c>
      <c r="AF68">
        <f t="shared" si="85"/>
        <v>8.8337063996674825</v>
      </c>
      <c r="AG68">
        <f t="shared" si="86"/>
        <v>3.2867876157737106</v>
      </c>
      <c r="AH68">
        <f t="shared" ref="AH68:AH99" si="90">PERCENTILE(Z$4:Z$107, 0.6)</f>
        <v>14.752361412031716</v>
      </c>
      <c r="AI68">
        <f t="shared" ref="AI68:AO83" si="91">PERCENTILE(AA$4:AA$107, 0.6)</f>
        <v>6.9687240579263854</v>
      </c>
      <c r="AJ68">
        <f t="shared" si="91"/>
        <v>4.6296050148216619</v>
      </c>
      <c r="AK68">
        <f t="shared" si="91"/>
        <v>3.6948385064954095</v>
      </c>
      <c r="AL68">
        <f t="shared" si="91"/>
        <v>2.5944664113759068</v>
      </c>
      <c r="AM68">
        <f t="shared" si="91"/>
        <v>2.3895751703221002</v>
      </c>
      <c r="AN68">
        <f t="shared" si="91"/>
        <v>6.5870344778956778</v>
      </c>
      <c r="AO68">
        <f t="shared" si="91"/>
        <v>3.6424813908642166</v>
      </c>
      <c r="AP68">
        <f t="shared" si="10"/>
        <v>0.44577777910827421</v>
      </c>
      <c r="AQ68">
        <f t="shared" si="11"/>
        <v>0.28278892038113052</v>
      </c>
      <c r="AR68">
        <f t="shared" si="12"/>
        <v>0.56341235805208045</v>
      </c>
      <c r="AS68">
        <f t="shared" si="13"/>
        <v>0.51809064199665278</v>
      </c>
      <c r="AT68">
        <f t="shared" si="14"/>
        <v>0.24974022166869075</v>
      </c>
      <c r="AU68">
        <f t="shared" si="15"/>
        <v>0.53229332669964069</v>
      </c>
      <c r="AV68">
        <f t="shared" si="16"/>
        <v>0.60830838938966003</v>
      </c>
      <c r="AW68">
        <f t="shared" si="17"/>
        <v>0.46537587043767281</v>
      </c>
      <c r="BC68">
        <f t="shared" si="18"/>
        <v>81.168591907149775</v>
      </c>
      <c r="BD68">
        <f t="shared" si="19"/>
        <v>35.187732754580523</v>
      </c>
      <c r="BE68">
        <f t="shared" si="20"/>
        <v>61.480007803941817</v>
      </c>
      <c r="BF68">
        <f t="shared" si="21"/>
        <v>37.443454649741717</v>
      </c>
      <c r="BG68">
        <f t="shared" si="22"/>
        <v>5.8402043033282691</v>
      </c>
      <c r="BH68">
        <f t="shared" si="23"/>
        <v>65.213302121814138</v>
      </c>
      <c r="BI68">
        <f t="shared" si="24"/>
        <v>56.183752769706601</v>
      </c>
      <c r="BJ68">
        <f t="shared" si="25"/>
        <v>46.732532065141882</v>
      </c>
      <c r="BK68">
        <f t="shared" si="26"/>
        <v>3.6363955296455952</v>
      </c>
      <c r="BL68">
        <f t="shared" si="27"/>
        <v>-1.7363490361356111</v>
      </c>
      <c r="BM68">
        <f t="shared" si="28"/>
        <v>16.979218812820744</v>
      </c>
      <c r="BN68">
        <f t="shared" si="29"/>
        <v>0.19155774964316316</v>
      </c>
      <c r="BO68">
        <f t="shared" si="30"/>
        <v>4.8806849999999997</v>
      </c>
      <c r="BP68">
        <f t="shared" si="31"/>
        <v>4.0509727190595839E-15</v>
      </c>
      <c r="BQ68">
        <f t="shared" si="32"/>
        <v>0</v>
      </c>
      <c r="BR68">
        <f t="shared" si="33"/>
        <v>78.326907650485339</v>
      </c>
      <c r="BS68">
        <f t="shared" si="34"/>
        <v>0.82290883304276796</v>
      </c>
      <c r="BT68">
        <f t="shared" si="35"/>
        <v>-1.0171724940883562</v>
      </c>
      <c r="BU68">
        <f t="shared" si="36"/>
        <v>163.20822000000001</v>
      </c>
      <c r="BV68">
        <f t="shared" si="37"/>
        <v>-77.948081999999999</v>
      </c>
      <c r="BW68">
        <f t="shared" si="38"/>
        <v>389.24957837540472</v>
      </c>
      <c r="BX68">
        <f t="shared" si="39"/>
        <v>1587.5935361216439</v>
      </c>
      <c r="BY68">
        <f t="shared" si="40"/>
        <v>2000</v>
      </c>
      <c r="BZ68">
        <v>1976.8431118842</v>
      </c>
      <c r="CD68">
        <v>1988.2853024234901</v>
      </c>
      <c r="CG68">
        <f t="shared" si="41"/>
        <v>227.70732608629629</v>
      </c>
      <c r="CH68">
        <f t="shared" si="42"/>
        <v>102.99211222362865</v>
      </c>
      <c r="CI68">
        <f t="shared" si="43"/>
        <v>151.15048985222248</v>
      </c>
      <c r="CJ68">
        <f t="shared" si="44"/>
        <v>154.18292798000419</v>
      </c>
      <c r="CK68">
        <f t="shared" si="45"/>
        <v>37.09999604910805</v>
      </c>
      <c r="CL68">
        <f t="shared" si="46"/>
        <v>95.705566186098366</v>
      </c>
      <c r="CM68">
        <f t="shared" si="47"/>
        <v>138.23130006687532</v>
      </c>
      <c r="CN68">
        <f t="shared" si="48"/>
        <v>66.772082887434379</v>
      </c>
      <c r="CO68">
        <f t="shared" si="49"/>
        <v>596.55506881440544</v>
      </c>
      <c r="CP68">
        <f t="shared" si="50"/>
        <v>407.14120535964742</v>
      </c>
      <c r="CQ68">
        <f t="shared" si="51"/>
        <v>147.23993645210186</v>
      </c>
      <c r="CR68">
        <f t="shared" si="52"/>
        <v>27.827204103732033</v>
      </c>
      <c r="CS68">
        <f t="shared" si="53"/>
        <v>61.198993999999999</v>
      </c>
      <c r="CT68">
        <f t="shared" si="54"/>
        <v>-6.5198865970994359E-15</v>
      </c>
      <c r="CU68">
        <f t="shared" si="55"/>
        <v>0</v>
      </c>
      <c r="CV68">
        <f t="shared" si="56"/>
        <v>52.289112233009639</v>
      </c>
      <c r="CW68">
        <f t="shared" si="57"/>
        <v>-0.34071443141101471</v>
      </c>
      <c r="CX68">
        <f t="shared" si="58"/>
        <v>-497.12563964358372</v>
      </c>
      <c r="CY68">
        <f t="shared" si="59"/>
        <v>6.4796129999999996</v>
      </c>
      <c r="CZ68">
        <f t="shared" si="60"/>
        <v>7.420248</v>
      </c>
      <c r="DA68">
        <v>9090.7085272677705</v>
      </c>
      <c r="DB68">
        <f t="shared" si="71"/>
        <v>2070020.9309740365</v>
      </c>
      <c r="DC68">
        <f t="shared" si="72"/>
        <v>936271.27283266012</v>
      </c>
      <c r="DD68">
        <f t="shared" si="73"/>
        <v>1374065.0470002994</v>
      </c>
      <c r="DE68">
        <f t="shared" si="74"/>
        <v>1401632.0581469366</v>
      </c>
      <c r="DF68">
        <f t="shared" si="75"/>
        <v>337265.25044522714</v>
      </c>
      <c r="DG68">
        <f t="shared" si="76"/>
        <v>870031.40663495439</v>
      </c>
      <c r="DH68">
        <f t="shared" si="77"/>
        <v>1256620.4582532535</v>
      </c>
      <c r="DI68">
        <f t="shared" si="78"/>
        <v>607005.54328823008</v>
      </c>
    </row>
    <row r="69" spans="1:113" x14ac:dyDescent="0.3">
      <c r="A69" s="1">
        <v>45748</v>
      </c>
      <c r="B69">
        <v>14</v>
      </c>
      <c r="C69">
        <v>0</v>
      </c>
      <c r="D69">
        <v>0.63106796116504804</v>
      </c>
      <c r="E69">
        <v>0.99270887409805397</v>
      </c>
      <c r="F69">
        <v>-0.12053668025532201</v>
      </c>
      <c r="G69">
        <v>1.01245876695757</v>
      </c>
      <c r="H69">
        <v>0.98378590783748698</v>
      </c>
      <c r="I69">
        <v>0.89559187726406297</v>
      </c>
      <c r="J69">
        <v>7.4628030359004602E-2</v>
      </c>
      <c r="K69">
        <v>11.3884786669816</v>
      </c>
      <c r="L69">
        <v>0.993676857817959</v>
      </c>
      <c r="M69">
        <v>4.7653594077914496</v>
      </c>
      <c r="N69">
        <v>3.3814795925505399</v>
      </c>
      <c r="O69">
        <v>1.0088170420648299</v>
      </c>
      <c r="P69">
        <v>3.0443533234953901</v>
      </c>
      <c r="Q69">
        <v>1.2773492506290001</v>
      </c>
      <c r="R69">
        <v>6.0515521975918301</v>
      </c>
      <c r="S69">
        <v>1.46648230177381</v>
      </c>
      <c r="T69">
        <v>4.3960016861842401</v>
      </c>
      <c r="U69">
        <v>11</v>
      </c>
      <c r="V69">
        <v>123</v>
      </c>
      <c r="W69">
        <v>2087</v>
      </c>
      <c r="X69">
        <v>9112.1289026181603</v>
      </c>
      <c r="Y69">
        <f t="shared" ref="Y69:Y107" si="92">X69*W69</f>
        <v>19017013.019764099</v>
      </c>
      <c r="Z69">
        <f t="shared" si="70"/>
        <v>12.490552527055836</v>
      </c>
      <c r="AA69">
        <f t="shared" si="80"/>
        <v>5.1738178980135521</v>
      </c>
      <c r="AB69">
        <f t="shared" si="81"/>
        <v>3.5253182469282862</v>
      </c>
      <c r="AC69">
        <f t="shared" si="82"/>
        <v>4.2188966084971273</v>
      </c>
      <c r="AD69">
        <f t="shared" si="83"/>
        <v>1.6539988932488636</v>
      </c>
      <c r="AE69">
        <f t="shared" si="84"/>
        <v>7.3539460510406389</v>
      </c>
      <c r="AF69">
        <f t="shared" si="85"/>
        <v>7.6500767815410473</v>
      </c>
      <c r="AG69">
        <f t="shared" si="86"/>
        <v>6.2037348748597809</v>
      </c>
      <c r="AH69">
        <f t="shared" si="90"/>
        <v>14.752361412031716</v>
      </c>
      <c r="AI69">
        <f t="shared" si="91"/>
        <v>6.9687240579263854</v>
      </c>
      <c r="AJ69">
        <f t="shared" si="91"/>
        <v>4.6296050148216619</v>
      </c>
      <c r="AK69">
        <f t="shared" si="91"/>
        <v>3.6948385064954095</v>
      </c>
      <c r="AL69">
        <f t="shared" si="91"/>
        <v>2.5944664113759068</v>
      </c>
      <c r="AM69">
        <f t="shared" si="91"/>
        <v>2.3895751703221002</v>
      </c>
      <c r="AN69">
        <f t="shared" si="91"/>
        <v>6.5870344778956778</v>
      </c>
      <c r="AO69">
        <f t="shared" si="91"/>
        <v>3.6424813908642166</v>
      </c>
      <c r="AP69">
        <f t="shared" ref="AP69:AP107" si="93">(POWER(Z69, AP$2))/(POWER(Z69, AP$2)+POWER(AH69, AP$2))</f>
        <v>0.43381837383238986</v>
      </c>
      <c r="AQ69">
        <f t="shared" ref="AQ69:AQ107" si="94">(POWER(AA69, AQ$2))/(POWER(AA69, AQ$2)+POWER(AI69, AQ$2))</f>
        <v>0.39724687522913521</v>
      </c>
      <c r="AR69">
        <f t="shared" ref="AR69:AR107" si="95">(POWER(AB69, AR$2))/(POWER(AB69, AR$2)+POWER(AJ69, AR$2))</f>
        <v>0.40905432215395465</v>
      </c>
      <c r="AS69">
        <f t="shared" ref="AS69:AS107" si="96">(POWER(AC69, AS$2))/(POWER(AC69, AS$2)+POWER(AK69, AS$2))</f>
        <v>0.54135430688421682</v>
      </c>
      <c r="AT69">
        <f t="shared" ref="AT69:AT107" si="97">(POWER(AD69, AT$2))/(POWER(AD69, AT$2)+POWER(AL69, AT$2))</f>
        <v>0.36291575254873243</v>
      </c>
      <c r="AU69">
        <f t="shared" ref="AU69:AU107" si="98">(POWER(AE69, AU$2))/(POWER(AE69, AU$2)+POWER(AM69, AU$2))</f>
        <v>0.84372141860688665</v>
      </c>
      <c r="AV69">
        <f t="shared" ref="AV69:AV107" si="99">(POWER(AF69, AV$2))/(POWER(AF69, AV$2)+POWER(AN69, AV$2))</f>
        <v>0.55587037512597293</v>
      </c>
      <c r="AW69">
        <f t="shared" ref="AW69:AW107" si="100">(POWER(AG69, AW$2))/(POWER(AG69, AW$2)+POWER(AO69, AW$2))</f>
        <v>0.67235517973573733</v>
      </c>
      <c r="BC69">
        <f t="shared" ref="BC69:BC107" si="101">AP69*$AZ$4</f>
        <v>78.990986535629688</v>
      </c>
      <c r="BD69">
        <f t="shared" ref="BD69:BD107" si="102">AQ69*$AZ$5</f>
        <v>49.42986049211467</v>
      </c>
      <c r="BE69">
        <f t="shared" ref="BE69:BE107" si="103">AR69*$AZ$6</f>
        <v>44.636335285951574</v>
      </c>
      <c r="BF69">
        <f t="shared" ref="BF69:BF107" si="104">AS69*$AZ$7</f>
        <v>39.124766587450722</v>
      </c>
      <c r="BG69">
        <f t="shared" ref="BG69:BG107" si="105">AT69*$AZ$8</f>
        <v>8.4868273344951568</v>
      </c>
      <c r="BH69">
        <f t="shared" ref="BH69:BH107" si="106">AU69*$AZ$9</f>
        <v>103.36755510238423</v>
      </c>
      <c r="BI69">
        <f t="shared" ref="BI69:BI107" si="107">AV69*$AZ$10</f>
        <v>51.340544159545317</v>
      </c>
      <c r="BJ69">
        <f t="shared" ref="BJ69:BJ107" si="108">AW69*$AZ$11</f>
        <v>67.517166213654676</v>
      </c>
      <c r="BK69">
        <f t="shared" ref="BK69:BK107" si="109">G69*$AZ$12</f>
        <v>3.6449639439703843</v>
      </c>
      <c r="BL69">
        <f t="shared" ref="BL69:BL107" si="110">H69*$AZ$13</f>
        <v>-1.7361332294984817</v>
      </c>
      <c r="BM69">
        <f t="shared" ref="BM69:BM107" si="111">I69*$AZ$14</f>
        <v>17.433971213778211</v>
      </c>
      <c r="BN69">
        <f t="shared" ref="BN69:BN107" si="112">J69*$AZ$15</f>
        <v>0.22541605528422345</v>
      </c>
      <c r="BO69">
        <f t="shared" ref="BO69:BO107" si="113">E69*$AZ$16</f>
        <v>4.8450993111772602</v>
      </c>
      <c r="BP69">
        <f t="shared" ref="BP69:BP107" si="114">F69*$AZ$17</f>
        <v>3.0364027486243388</v>
      </c>
      <c r="BQ69">
        <f t="shared" ref="BQ69:BQ107" si="115">C69*$AZ$18</f>
        <v>0</v>
      </c>
      <c r="BR69">
        <f t="shared" ref="BR69:BR107" si="116">D69*$AZ$19</f>
        <v>79.550765582524207</v>
      </c>
      <c r="BS69">
        <f t="shared" ref="BS69:BS107" si="117">K69*$AZ$20</f>
        <v>1.1125063155414314</v>
      </c>
      <c r="BT69">
        <f t="shared" ref="BT69:BT107" si="118">L69*$AZ$21</f>
        <v>-1.0206879758440246</v>
      </c>
      <c r="BU69">
        <f t="shared" ref="BU69:BU107" si="119">V69*$AZ$22</f>
        <v>136.56198000000001</v>
      </c>
      <c r="BV69">
        <f t="shared" ref="BV69:BV107" si="120">U69*$AZ$23</f>
        <v>-47.634938999999996</v>
      </c>
      <c r="BW69">
        <f t="shared" ref="BW69:BW107" si="121">SUM(BC69:BJ69)</f>
        <v>442.89404171122607</v>
      </c>
      <c r="BX69">
        <f t="shared" ref="BX69:BX107" si="122">SUM(BK69:BV69) + $BA$4</f>
        <v>1596.2685910417877</v>
      </c>
      <c r="BY69">
        <f t="shared" ref="BY69:BY107" si="123">W69</f>
        <v>2087</v>
      </c>
      <c r="BZ69">
        <v>2039.1626302739701</v>
      </c>
      <c r="CD69">
        <v>2079.8823991827599</v>
      </c>
      <c r="CG69">
        <f t="shared" ref="CG69:CG107" si="124">AP69*$CC$4</f>
        <v>221.5983535789598</v>
      </c>
      <c r="CH69">
        <f t="shared" ref="CH69:CH107" si="125">AQ69*$CC$5</f>
        <v>144.67785618667011</v>
      </c>
      <c r="CI69">
        <f t="shared" ref="CI69:CI107" si="126">AR69*$CC$6</f>
        <v>109.73980298107655</v>
      </c>
      <c r="CJ69">
        <f t="shared" ref="CJ69:CJ107" si="127">AS69*$CC$7</f>
        <v>161.10615661445118</v>
      </c>
      <c r="CK69">
        <f t="shared" ref="CK69:CK107" si="128">AT69*$CC$8</f>
        <v>53.912713361722041</v>
      </c>
      <c r="CL69">
        <f t="shared" ref="CL69:CL107" si="129">AU69*$CC$9</f>
        <v>151.69988429457555</v>
      </c>
      <c r="CM69">
        <f t="shared" ref="CM69:CM107" si="130">AV69*$CC$10</f>
        <v>126.31534590443545</v>
      </c>
      <c r="CN69">
        <f t="shared" ref="CN69:CN107" si="131">AW69*$CC$11</f>
        <v>96.469453280610438</v>
      </c>
      <c r="CO69">
        <f t="shared" ref="CO69:CO107" si="132">G69*$CC$12</f>
        <v>597.96072751007898</v>
      </c>
      <c r="CP69">
        <f t="shared" ref="CP69:CP107" si="133">H69*$CC$13</f>
        <v>407.0906027604367</v>
      </c>
      <c r="CQ69">
        <f t="shared" ref="CQ69:CQ107" si="134">I69*$CC$14</f>
        <v>151.18344618341288</v>
      </c>
      <c r="CR69">
        <f t="shared" ref="CR69:CR107" si="135">J69*$CC$15</f>
        <v>32.745731197704679</v>
      </c>
      <c r="CS69">
        <f t="shared" ref="CS69:CS107" si="136">E69*$CC$16</f>
        <v>60.752784429673561</v>
      </c>
      <c r="CT69">
        <f t="shared" ref="CT69:CT107" si="137">F69*$CC$17</f>
        <v>-4.8869747976845197</v>
      </c>
      <c r="CU69">
        <f t="shared" ref="CU69:CU107" si="138">C69*$CC$18</f>
        <v>0</v>
      </c>
      <c r="CV69">
        <f t="shared" ref="CV69:CV107" si="139">D69*$CC$19</f>
        <v>53.106129611650438</v>
      </c>
      <c r="CW69">
        <f t="shared" ref="CW69:CW107" si="140">K69*$CC$20</f>
        <v>-0.46061840816473781</v>
      </c>
      <c r="CX69">
        <f t="shared" ref="CX69:CX107" si="141">L69*$CC$21</f>
        <v>-498.8437711567725</v>
      </c>
      <c r="CY69">
        <f t="shared" ref="CY69:CY107" si="142">V69*$CC$22</f>
        <v>5.4217170000000001</v>
      </c>
      <c r="CZ69">
        <f t="shared" ref="CZ69:CZ107" si="143">U69*$CC$23</f>
        <v>4.5345959999999996</v>
      </c>
      <c r="DA69">
        <v>9112.1289026181603</v>
      </c>
      <c r="DB69">
        <f t="shared" si="71"/>
        <v>2019232.762419438</v>
      </c>
      <c r="DC69">
        <f t="shared" si="72"/>
        <v>1318323.2749273903</v>
      </c>
      <c r="DD69">
        <f t="shared" si="73"/>
        <v>999963.23051149014</v>
      </c>
      <c r="DE69">
        <f t="shared" si="74"/>
        <v>1468020.0660762684</v>
      </c>
      <c r="DF69">
        <f t="shared" si="75"/>
        <v>491259.59364191571</v>
      </c>
      <c r="DG69">
        <f t="shared" si="76"/>
        <v>1382308.9002044327</v>
      </c>
      <c r="DH69">
        <f t="shared" si="77"/>
        <v>1151001.7142600168</v>
      </c>
      <c r="DI69">
        <f t="shared" si="78"/>
        <v>879042.09345802269</v>
      </c>
    </row>
    <row r="70" spans="1:113" x14ac:dyDescent="0.3">
      <c r="A70" s="1">
        <v>45755</v>
      </c>
      <c r="B70">
        <v>15</v>
      </c>
      <c r="C70">
        <v>0</v>
      </c>
      <c r="D70">
        <v>0.64077669902912604</v>
      </c>
      <c r="E70">
        <v>0.97094181742605201</v>
      </c>
      <c r="F70">
        <v>-0.23931566428755699</v>
      </c>
      <c r="G70">
        <v>1.0114125917408201</v>
      </c>
      <c r="H70">
        <v>0.98182154475119898</v>
      </c>
      <c r="I70">
        <v>0.89185005387912097</v>
      </c>
      <c r="J70">
        <v>4.12356030019378E-2</v>
      </c>
      <c r="K70">
        <v>13.419057177967</v>
      </c>
      <c r="L70">
        <v>0.99412312442473705</v>
      </c>
      <c r="M70">
        <v>10.961845323796799</v>
      </c>
      <c r="N70">
        <v>10.493990380006499</v>
      </c>
      <c r="O70">
        <v>1.89380522750078</v>
      </c>
      <c r="P70">
        <v>2.4414472827474998</v>
      </c>
      <c r="Q70">
        <v>0.93820731169620697</v>
      </c>
      <c r="R70">
        <v>9.3972154283521903</v>
      </c>
      <c r="S70">
        <v>3.6038936083693698</v>
      </c>
      <c r="T70">
        <v>2.2347923424820499</v>
      </c>
      <c r="U70">
        <v>11</v>
      </c>
      <c r="V70">
        <v>133</v>
      </c>
      <c r="W70">
        <v>2251</v>
      </c>
      <c r="X70">
        <v>9102.7133256674606</v>
      </c>
      <c r="Y70">
        <f t="shared" si="92"/>
        <v>20490207.696077455</v>
      </c>
      <c r="Z70">
        <f t="shared" ref="Z70:Z107" si="144">M70+(Z$2*Z69)</f>
        <v>18.456176840030302</v>
      </c>
      <c r="AA70">
        <f t="shared" si="80"/>
        <v>13.080899329013276</v>
      </c>
      <c r="AB70">
        <f t="shared" si="81"/>
        <v>3.4801984386185087</v>
      </c>
      <c r="AC70">
        <f t="shared" si="82"/>
        <v>3.7071162652966381</v>
      </c>
      <c r="AD70">
        <f t="shared" si="83"/>
        <v>1.5171069243333091</v>
      </c>
      <c r="AE70">
        <f t="shared" si="84"/>
        <v>13.074188453872509</v>
      </c>
      <c r="AF70">
        <f t="shared" si="85"/>
        <v>8.9589473554481032</v>
      </c>
      <c r="AG70">
        <f t="shared" si="86"/>
        <v>5.6468465236549292</v>
      </c>
      <c r="AH70">
        <f t="shared" si="90"/>
        <v>14.752361412031716</v>
      </c>
      <c r="AI70">
        <f t="shared" si="91"/>
        <v>6.9687240579263854</v>
      </c>
      <c r="AJ70">
        <f t="shared" si="91"/>
        <v>4.6296050148216619</v>
      </c>
      <c r="AK70">
        <f t="shared" si="91"/>
        <v>3.6948385064954095</v>
      </c>
      <c r="AL70">
        <f t="shared" si="91"/>
        <v>2.5944664113759068</v>
      </c>
      <c r="AM70">
        <f t="shared" si="91"/>
        <v>2.3895751703221002</v>
      </c>
      <c r="AN70">
        <f t="shared" si="91"/>
        <v>6.5870344778956778</v>
      </c>
      <c r="AO70">
        <f t="shared" si="91"/>
        <v>3.6424813908642166</v>
      </c>
      <c r="AP70">
        <f t="shared" si="93"/>
        <v>0.58865148989923999</v>
      </c>
      <c r="AQ70">
        <f t="shared" si="94"/>
        <v>0.70715560384006637</v>
      </c>
      <c r="AR70">
        <f t="shared" si="95"/>
        <v>0.40485742667699498</v>
      </c>
      <c r="AS70">
        <f t="shared" si="96"/>
        <v>0.50103669848421317</v>
      </c>
      <c r="AT70">
        <f t="shared" si="97"/>
        <v>0.3383357257747438</v>
      </c>
      <c r="AU70">
        <f t="shared" si="98"/>
        <v>0.92752556735694325</v>
      </c>
      <c r="AV70">
        <f t="shared" si="99"/>
        <v>0.61332827570175352</v>
      </c>
      <c r="AW70">
        <f t="shared" si="100"/>
        <v>0.64379715396681236</v>
      </c>
      <c r="BC70">
        <f t="shared" si="101"/>
        <v>107.18347750474548</v>
      </c>
      <c r="BD70">
        <f t="shared" si="102"/>
        <v>87.992140463960837</v>
      </c>
      <c r="BE70">
        <f t="shared" si="103"/>
        <v>44.178366689792462</v>
      </c>
      <c r="BF70">
        <f t="shared" si="104"/>
        <v>36.210931788401531</v>
      </c>
      <c r="BG70">
        <f t="shared" si="105"/>
        <v>7.9120205325223001</v>
      </c>
      <c r="BH70">
        <f t="shared" si="106"/>
        <v>113.63472359270561</v>
      </c>
      <c r="BI70">
        <f t="shared" si="107"/>
        <v>56.647392687238678</v>
      </c>
      <c r="BJ70">
        <f t="shared" si="108"/>
        <v>64.649400736883621</v>
      </c>
      <c r="BK70">
        <f t="shared" si="109"/>
        <v>3.6411975970646355</v>
      </c>
      <c r="BL70">
        <f t="shared" si="110"/>
        <v>-1.7326666256350443</v>
      </c>
      <c r="BM70">
        <f t="shared" si="111"/>
        <v>17.361131293233814</v>
      </c>
      <c r="BN70">
        <f t="shared" si="112"/>
        <v>0.12455329346423719</v>
      </c>
      <c r="BO70">
        <f t="shared" si="113"/>
        <v>4.7388611641840708</v>
      </c>
      <c r="BP70">
        <f t="shared" si="114"/>
        <v>6.0285279077902407</v>
      </c>
      <c r="BQ70">
        <f t="shared" si="115"/>
        <v>0</v>
      </c>
      <c r="BR70">
        <f t="shared" si="116"/>
        <v>80.774623514563089</v>
      </c>
      <c r="BS70">
        <f t="shared" si="117"/>
        <v>1.3108674385440622</v>
      </c>
      <c r="BT70">
        <f t="shared" si="118"/>
        <v>-1.0211463733159747</v>
      </c>
      <c r="BU70">
        <f t="shared" si="119"/>
        <v>147.66458</v>
      </c>
      <c r="BV70">
        <f t="shared" si="120"/>
        <v>-47.634938999999996</v>
      </c>
      <c r="BW70">
        <f t="shared" si="121"/>
        <v>518.4084539962505</v>
      </c>
      <c r="BX70">
        <f t="shared" si="122"/>
        <v>1611.5048362861232</v>
      </c>
      <c r="BY70">
        <f t="shared" si="123"/>
        <v>2251</v>
      </c>
      <c r="BZ70">
        <v>2129.91328732896</v>
      </c>
      <c r="CD70">
        <v>2257.1822237114702</v>
      </c>
      <c r="CG70">
        <f t="shared" si="124"/>
        <v>300.6885112797728</v>
      </c>
      <c r="CH70">
        <f t="shared" si="125"/>
        <v>257.54703972172945</v>
      </c>
      <c r="CI70">
        <f t="shared" si="126"/>
        <v>108.61387310372304</v>
      </c>
      <c r="CJ70">
        <f t="shared" si="127"/>
        <v>149.10770227389983</v>
      </c>
      <c r="CK70">
        <f t="shared" si="128"/>
        <v>50.261243485909588</v>
      </c>
      <c r="CL70">
        <f t="shared" si="129"/>
        <v>166.76774838860345</v>
      </c>
      <c r="CM70">
        <f t="shared" si="130"/>
        <v>139.37201326960596</v>
      </c>
      <c r="CN70">
        <f t="shared" si="131"/>
        <v>92.371950627645674</v>
      </c>
      <c r="CO70">
        <f t="shared" si="132"/>
        <v>597.34285376141202</v>
      </c>
      <c r="CP70">
        <f t="shared" si="133"/>
        <v>406.27774932711691</v>
      </c>
      <c r="CQ70">
        <f t="shared" si="134"/>
        <v>150.55179490484906</v>
      </c>
      <c r="CR70">
        <f t="shared" si="135"/>
        <v>18.09360323702813</v>
      </c>
      <c r="CS70">
        <f t="shared" si="136"/>
        <v>59.420662459006053</v>
      </c>
      <c r="CT70">
        <f t="shared" si="137"/>
        <v>-9.7026864983099816</v>
      </c>
      <c r="CU70">
        <f t="shared" si="138"/>
        <v>0</v>
      </c>
      <c r="CV70">
        <f t="shared" si="139"/>
        <v>53.923146990291244</v>
      </c>
      <c r="CW70">
        <f t="shared" si="140"/>
        <v>-0.54274718662005328</v>
      </c>
      <c r="CX70">
        <f t="shared" si="141"/>
        <v>-499.06780507213944</v>
      </c>
      <c r="CY70">
        <f t="shared" si="142"/>
        <v>5.8625069999999999</v>
      </c>
      <c r="CZ70">
        <f t="shared" si="143"/>
        <v>4.5345959999999996</v>
      </c>
      <c r="DA70">
        <v>9102.7133256674606</v>
      </c>
      <c r="DB70">
        <f t="shared" si="71"/>
        <v>2737081.3185014986</v>
      </c>
      <c r="DC70">
        <f t="shared" si="72"/>
        <v>2344376.8704611934</v>
      </c>
      <c r="DD70">
        <f t="shared" si="73"/>
        <v>988680.95005361433</v>
      </c>
      <c r="DE70">
        <f t="shared" si="74"/>
        <v>1357284.6684482843</v>
      </c>
      <c r="DF70">
        <f t="shared" si="75"/>
        <v>457513.69084380608</v>
      </c>
      <c r="DG70">
        <f t="shared" si="76"/>
        <v>1518039.0055484988</v>
      </c>
      <c r="DH70">
        <f t="shared" si="77"/>
        <v>1268663.4824143443</v>
      </c>
      <c r="DI70">
        <f t="shared" si="78"/>
        <v>840835.38589616702</v>
      </c>
    </row>
    <row r="71" spans="1:113" x14ac:dyDescent="0.3">
      <c r="A71" s="1">
        <v>45762</v>
      </c>
      <c r="B71">
        <v>16</v>
      </c>
      <c r="C71">
        <v>0</v>
      </c>
      <c r="D71">
        <v>0.65048543689320304</v>
      </c>
      <c r="E71">
        <v>0.93501624268541395</v>
      </c>
      <c r="F71">
        <v>-0.35460488704253501</v>
      </c>
      <c r="G71">
        <v>1.0100255363628301</v>
      </c>
      <c r="H71">
        <v>0.98315976135564498</v>
      </c>
      <c r="I71">
        <v>0.88143128105954505</v>
      </c>
      <c r="J71">
        <v>7.82390830964248E-2</v>
      </c>
      <c r="K71">
        <v>2.0600012553803202</v>
      </c>
      <c r="L71">
        <v>0.99545326300634496</v>
      </c>
      <c r="M71">
        <v>13.5539591174918</v>
      </c>
      <c r="N71">
        <v>2.9154305604014001</v>
      </c>
      <c r="O71">
        <v>0.47660914695450302</v>
      </c>
      <c r="P71">
        <v>0.82386407522641703</v>
      </c>
      <c r="Q71">
        <v>1.8893847179667</v>
      </c>
      <c r="R71">
        <v>2.3870474829676498</v>
      </c>
      <c r="S71">
        <v>0.33412520857769201</v>
      </c>
      <c r="T71">
        <v>2.31726481047866</v>
      </c>
      <c r="U71">
        <v>14</v>
      </c>
      <c r="V71">
        <v>134</v>
      </c>
      <c r="W71">
        <v>2165</v>
      </c>
      <c r="X71">
        <v>9090.2298272655098</v>
      </c>
      <c r="Y71">
        <f t="shared" si="92"/>
        <v>19680347.57602983</v>
      </c>
      <c r="Z71">
        <f t="shared" si="144"/>
        <v>24.627665221509979</v>
      </c>
      <c r="AA71">
        <f t="shared" si="80"/>
        <v>9.4558802249080376</v>
      </c>
      <c r="AB71">
        <f t="shared" si="81"/>
        <v>2.042698444332832</v>
      </c>
      <c r="AC71">
        <f t="shared" si="82"/>
        <v>1.9359989548154084</v>
      </c>
      <c r="AD71">
        <f t="shared" si="83"/>
        <v>2.4203721414833583</v>
      </c>
      <c r="AE71">
        <f t="shared" si="84"/>
        <v>8.9241417099039033</v>
      </c>
      <c r="AF71">
        <f t="shared" si="85"/>
        <v>6.6053883573913641</v>
      </c>
      <c r="AG71">
        <f t="shared" si="86"/>
        <v>5.423030398488871</v>
      </c>
      <c r="AH71">
        <f t="shared" si="90"/>
        <v>14.752361412031716</v>
      </c>
      <c r="AI71">
        <f t="shared" si="91"/>
        <v>6.9687240579263854</v>
      </c>
      <c r="AJ71">
        <f t="shared" si="91"/>
        <v>4.6296050148216619</v>
      </c>
      <c r="AK71">
        <f t="shared" si="91"/>
        <v>3.6948385064954095</v>
      </c>
      <c r="AL71">
        <f t="shared" si="91"/>
        <v>2.5944664113759068</v>
      </c>
      <c r="AM71">
        <f t="shared" si="91"/>
        <v>2.3895751703221002</v>
      </c>
      <c r="AN71">
        <f t="shared" si="91"/>
        <v>6.5870344778956778</v>
      </c>
      <c r="AO71">
        <f t="shared" si="91"/>
        <v>3.6424813908642166</v>
      </c>
      <c r="AP71">
        <f t="shared" si="93"/>
        <v>0.69422521619702493</v>
      </c>
      <c r="AQ71">
        <f t="shared" si="94"/>
        <v>0.6052255255972685</v>
      </c>
      <c r="AR71">
        <f t="shared" si="95"/>
        <v>0.24888463061679439</v>
      </c>
      <c r="AS71">
        <f t="shared" si="96"/>
        <v>0.30833993325491921</v>
      </c>
      <c r="AT71">
        <f t="shared" si="97"/>
        <v>0.47830751071816152</v>
      </c>
      <c r="AU71">
        <f t="shared" si="98"/>
        <v>0.87830402084236547</v>
      </c>
      <c r="AV71">
        <f t="shared" si="99"/>
        <v>0.50104343218012826</v>
      </c>
      <c r="AW71">
        <f t="shared" si="100"/>
        <v>0.63118084457462997</v>
      </c>
      <c r="BC71">
        <f t="shared" si="101"/>
        <v>126.40666696727061</v>
      </c>
      <c r="BD71">
        <f t="shared" si="102"/>
        <v>75.30887003021445</v>
      </c>
      <c r="BE71">
        <f t="shared" si="103"/>
        <v>27.158490249493727</v>
      </c>
      <c r="BF71">
        <f t="shared" si="104"/>
        <v>22.28434828129852</v>
      </c>
      <c r="BG71">
        <f t="shared" si="105"/>
        <v>11.185277100122962</v>
      </c>
      <c r="BH71">
        <f t="shared" si="106"/>
        <v>107.60440267235833</v>
      </c>
      <c r="BI71">
        <f t="shared" si="107"/>
        <v>46.276692564996672</v>
      </c>
      <c r="BJ71">
        <f t="shared" si="108"/>
        <v>63.382484850893618</v>
      </c>
      <c r="BK71">
        <f t="shared" si="109"/>
        <v>3.6362040437407246</v>
      </c>
      <c r="BL71">
        <f t="shared" si="110"/>
        <v>-1.7350282393730905</v>
      </c>
      <c r="BM71">
        <f t="shared" si="111"/>
        <v>17.158315043968273</v>
      </c>
      <c r="BN71">
        <f t="shared" si="112"/>
        <v>0.23632334118707782</v>
      </c>
      <c r="BO71">
        <f t="shared" si="113"/>
        <v>4.563519750431059</v>
      </c>
      <c r="BP71">
        <f t="shared" si="114"/>
        <v>8.9327435549979519</v>
      </c>
      <c r="BQ71">
        <f t="shared" si="115"/>
        <v>0</v>
      </c>
      <c r="BR71">
        <f t="shared" si="116"/>
        <v>81.998481446601829</v>
      </c>
      <c r="BS71">
        <f t="shared" si="117"/>
        <v>0.20123534263433734</v>
      </c>
      <c r="BT71">
        <f t="shared" si="118"/>
        <v>-1.0225126690546464</v>
      </c>
      <c r="BU71">
        <f t="shared" si="119"/>
        <v>148.77484000000001</v>
      </c>
      <c r="BV71">
        <f t="shared" si="120"/>
        <v>-60.626285999999993</v>
      </c>
      <c r="BW71">
        <f t="shared" si="121"/>
        <v>479.60723271664887</v>
      </c>
      <c r="BX71">
        <f t="shared" si="122"/>
        <v>1602.3670816913636</v>
      </c>
      <c r="BY71">
        <f t="shared" si="123"/>
        <v>2165</v>
      </c>
      <c r="BZ71">
        <v>2081.9743133584898</v>
      </c>
      <c r="CD71">
        <v>2168.6438527957298</v>
      </c>
      <c r="CG71">
        <f t="shared" si="124"/>
        <v>354.61652664277301</v>
      </c>
      <c r="CH71">
        <f t="shared" si="125"/>
        <v>220.42396558149525</v>
      </c>
      <c r="CI71">
        <f t="shared" si="126"/>
        <v>66.769983470863991</v>
      </c>
      <c r="CJ71">
        <f t="shared" si="127"/>
        <v>91.761460000873086</v>
      </c>
      <c r="CK71">
        <f t="shared" si="128"/>
        <v>71.054660876547004</v>
      </c>
      <c r="CL71">
        <f t="shared" si="129"/>
        <v>157.91778589341101</v>
      </c>
      <c r="CM71">
        <f t="shared" si="130"/>
        <v>113.85653433075221</v>
      </c>
      <c r="CN71">
        <f t="shared" si="131"/>
        <v>90.561763830302596</v>
      </c>
      <c r="CO71">
        <f t="shared" si="132"/>
        <v>596.52365532095405</v>
      </c>
      <c r="CP71">
        <f t="shared" si="133"/>
        <v>406.83150335000732</v>
      </c>
      <c r="CQ71">
        <f t="shared" si="134"/>
        <v>148.79301836851261</v>
      </c>
      <c r="CR71">
        <f t="shared" si="135"/>
        <v>34.330210403593696</v>
      </c>
      <c r="CS71">
        <f t="shared" si="136"/>
        <v>57.222053426007193</v>
      </c>
      <c r="CT71">
        <f t="shared" si="137"/>
        <v>-14.376911181242859</v>
      </c>
      <c r="CU71">
        <f t="shared" si="138"/>
        <v>0</v>
      </c>
      <c r="CV71">
        <f t="shared" si="139"/>
        <v>54.740164368931964</v>
      </c>
      <c r="CW71">
        <f t="shared" si="140"/>
        <v>-8.331881077511244E-2</v>
      </c>
      <c r="CX71">
        <f t="shared" si="141"/>
        <v>-499.73555871960536</v>
      </c>
      <c r="CY71">
        <f t="shared" si="142"/>
        <v>5.9065859999999999</v>
      </c>
      <c r="CZ71">
        <f t="shared" si="143"/>
        <v>5.7713039999999998</v>
      </c>
      <c r="DA71">
        <v>9090.2298272655098</v>
      </c>
      <c r="DB71">
        <f t="shared" si="71"/>
        <v>3223545.7277294295</v>
      </c>
      <c r="DC71">
        <f t="shared" si="72"/>
        <v>2003704.5065730542</v>
      </c>
      <c r="DD71">
        <f t="shared" si="73"/>
        <v>606954.49531287292</v>
      </c>
      <c r="DE71">
        <f t="shared" si="74"/>
        <v>834132.76069336757</v>
      </c>
      <c r="DF71">
        <f t="shared" si="75"/>
        <v>645903.19766622328</v>
      </c>
      <c r="DG71">
        <f t="shared" si="76"/>
        <v>1435508.9675840132</v>
      </c>
      <c r="DH71">
        <f t="shared" si="77"/>
        <v>1034982.0644024833</v>
      </c>
      <c r="DI71">
        <f t="shared" si="78"/>
        <v>823227.24677999143</v>
      </c>
    </row>
    <row r="72" spans="1:113" x14ac:dyDescent="0.3">
      <c r="A72" s="1">
        <v>45769</v>
      </c>
      <c r="B72">
        <v>17</v>
      </c>
      <c r="C72">
        <v>0</v>
      </c>
      <c r="D72">
        <v>0.66019417475728104</v>
      </c>
      <c r="E72">
        <v>0.88545602565320902</v>
      </c>
      <c r="F72">
        <v>-0.46472317204376801</v>
      </c>
      <c r="G72">
        <v>1.0125994640066001</v>
      </c>
      <c r="H72">
        <v>0.98179481091462295</v>
      </c>
      <c r="I72">
        <v>0.87139855411664402</v>
      </c>
      <c r="J72">
        <v>2.4582681757725901E-2</v>
      </c>
      <c r="K72">
        <v>8.8872680223155101</v>
      </c>
      <c r="L72">
        <v>0.99471964680416602</v>
      </c>
      <c r="M72">
        <v>17.1449263192603</v>
      </c>
      <c r="N72">
        <v>1.6610858832038</v>
      </c>
      <c r="O72">
        <v>7.0701262688448605E-2</v>
      </c>
      <c r="P72">
        <v>2.6088116785300701</v>
      </c>
      <c r="Q72">
        <v>3.0049594899305201</v>
      </c>
      <c r="R72">
        <v>3.5242926608896301</v>
      </c>
      <c r="S72">
        <v>1.88960808380446</v>
      </c>
      <c r="T72">
        <v>0.29638165190023102</v>
      </c>
      <c r="U72">
        <v>8</v>
      </c>
      <c r="V72">
        <v>109</v>
      </c>
      <c r="W72">
        <v>2119</v>
      </c>
      <c r="X72">
        <v>9113.3951760594591</v>
      </c>
      <c r="Y72">
        <f t="shared" si="92"/>
        <v>19311284.378069993</v>
      </c>
      <c r="Z72">
        <f t="shared" si="144"/>
        <v>31.921525452166286</v>
      </c>
      <c r="AA72">
        <f t="shared" si="80"/>
        <v>6.3890259956578186</v>
      </c>
      <c r="AB72">
        <f t="shared" si="81"/>
        <v>0.989915562638223</v>
      </c>
      <c r="AC72">
        <f t="shared" si="82"/>
        <v>3.1896113649746924</v>
      </c>
      <c r="AD72">
        <f t="shared" si="83"/>
        <v>3.8520897394496956</v>
      </c>
      <c r="AE72">
        <f t="shared" si="84"/>
        <v>7.9863635158415818</v>
      </c>
      <c r="AF72">
        <f t="shared" si="85"/>
        <v>6.5133799339784151</v>
      </c>
      <c r="AG72">
        <f t="shared" si="86"/>
        <v>3.2790483710691101</v>
      </c>
      <c r="AH72">
        <f t="shared" si="90"/>
        <v>14.752361412031716</v>
      </c>
      <c r="AI72">
        <f t="shared" si="91"/>
        <v>6.9687240579263854</v>
      </c>
      <c r="AJ72">
        <f t="shared" si="91"/>
        <v>4.6296050148216619</v>
      </c>
      <c r="AK72">
        <f t="shared" si="91"/>
        <v>3.6948385064954095</v>
      </c>
      <c r="AL72">
        <f t="shared" si="91"/>
        <v>2.5944664113759068</v>
      </c>
      <c r="AM72">
        <f t="shared" si="91"/>
        <v>2.3895751703221002</v>
      </c>
      <c r="AN72">
        <f t="shared" si="91"/>
        <v>6.5870344778956778</v>
      </c>
      <c r="AO72">
        <f t="shared" si="91"/>
        <v>3.6424813908642166</v>
      </c>
      <c r="AP72">
        <f t="shared" si="93"/>
        <v>0.77469316193220916</v>
      </c>
      <c r="AQ72">
        <f t="shared" si="94"/>
        <v>0.46963978470876644</v>
      </c>
      <c r="AR72">
        <f t="shared" si="95"/>
        <v>0.11080745932997488</v>
      </c>
      <c r="AS72">
        <f t="shared" si="96"/>
        <v>0.45417961494358861</v>
      </c>
      <c r="AT72">
        <f t="shared" si="97"/>
        <v>0.62105854831190377</v>
      </c>
      <c r="AU72">
        <f t="shared" si="98"/>
        <v>0.85935340115730507</v>
      </c>
      <c r="AV72">
        <f t="shared" si="99"/>
        <v>0.49578332573064215</v>
      </c>
      <c r="AW72">
        <f t="shared" si="100"/>
        <v>0.46458414114769886</v>
      </c>
      <c r="BC72">
        <f t="shared" si="101"/>
        <v>141.0585185289417</v>
      </c>
      <c r="BD72">
        <f t="shared" si="102"/>
        <v>58.437788909757792</v>
      </c>
      <c r="BE72">
        <f t="shared" si="103"/>
        <v>12.091398718861782</v>
      </c>
      <c r="BF72">
        <f t="shared" si="104"/>
        <v>32.824475943897255</v>
      </c>
      <c r="BG72">
        <f t="shared" si="105"/>
        <v>14.523526816124022</v>
      </c>
      <c r="BH72">
        <f t="shared" si="106"/>
        <v>105.28268938960889</v>
      </c>
      <c r="BI72">
        <f t="shared" si="107"/>
        <v>45.790865761593906</v>
      </c>
      <c r="BJ72">
        <f t="shared" si="108"/>
        <v>46.653027482328376</v>
      </c>
      <c r="BK72">
        <f t="shared" si="109"/>
        <v>3.6454704689642652</v>
      </c>
      <c r="BL72">
        <f t="shared" si="110"/>
        <v>-1.7326194471771481</v>
      </c>
      <c r="BM72">
        <f t="shared" si="111"/>
        <v>16.963013727421536</v>
      </c>
      <c r="BN72">
        <f t="shared" si="112"/>
        <v>7.4252678564300303E-2</v>
      </c>
      <c r="BO72">
        <f t="shared" si="113"/>
        <v>4.3216319425652321</v>
      </c>
      <c r="BP72">
        <f t="shared" si="114"/>
        <v>11.706699686387088</v>
      </c>
      <c r="BQ72">
        <f t="shared" si="115"/>
        <v>0</v>
      </c>
      <c r="BR72">
        <f t="shared" si="116"/>
        <v>83.222339378640712</v>
      </c>
      <c r="BS72">
        <f t="shared" si="117"/>
        <v>0.86817055129593523</v>
      </c>
      <c r="BT72">
        <f t="shared" si="118"/>
        <v>-1.0217591109632436</v>
      </c>
      <c r="BU72">
        <f t="shared" si="119"/>
        <v>121.01834000000001</v>
      </c>
      <c r="BV72">
        <f t="shared" si="120"/>
        <v>-34.643591999999998</v>
      </c>
      <c r="BW72">
        <f t="shared" si="121"/>
        <v>456.66229155111375</v>
      </c>
      <c r="BX72">
        <f t="shared" si="122"/>
        <v>1604.6711939519287</v>
      </c>
      <c r="BY72">
        <f t="shared" si="123"/>
        <v>2119</v>
      </c>
      <c r="BZ72">
        <v>2061.33348368524</v>
      </c>
      <c r="CD72">
        <v>2124.9804783704699</v>
      </c>
      <c r="CG72">
        <f t="shared" si="124"/>
        <v>395.72028196155372</v>
      </c>
      <c r="CH72">
        <f t="shared" si="125"/>
        <v>171.04345299743778</v>
      </c>
      <c r="CI72">
        <f t="shared" si="126"/>
        <v>29.727075591511472</v>
      </c>
      <c r="CJ72">
        <f t="shared" si="127"/>
        <v>135.16311082354153</v>
      </c>
      <c r="CK72">
        <f t="shared" si="128"/>
        <v>92.260948335359913</v>
      </c>
      <c r="CL72">
        <f t="shared" si="129"/>
        <v>154.51049202823816</v>
      </c>
      <c r="CM72">
        <f t="shared" si="130"/>
        <v>112.66123377977318</v>
      </c>
      <c r="CN72">
        <f t="shared" si="131"/>
        <v>66.658485648873565</v>
      </c>
      <c r="CO72">
        <f t="shared" si="132"/>
        <v>598.04382354573227</v>
      </c>
      <c r="CP72">
        <f t="shared" si="133"/>
        <v>406.26668686570213</v>
      </c>
      <c r="CQ72">
        <f t="shared" si="134"/>
        <v>147.09940962512096</v>
      </c>
      <c r="CR72">
        <f t="shared" si="135"/>
        <v>10.78653536861143</v>
      </c>
      <c r="CS72">
        <f t="shared" si="136"/>
        <v>54.189018001214585</v>
      </c>
      <c r="CT72">
        <f t="shared" si="137"/>
        <v>-18.841488125168659</v>
      </c>
      <c r="CU72">
        <f t="shared" si="138"/>
        <v>0</v>
      </c>
      <c r="CV72">
        <f t="shared" si="139"/>
        <v>55.55718174757277</v>
      </c>
      <c r="CW72">
        <f t="shared" si="140"/>
        <v>-0.35945444243057312</v>
      </c>
      <c r="CX72">
        <f t="shared" si="141"/>
        <v>-499.36727010545746</v>
      </c>
      <c r="CY72">
        <f t="shared" si="142"/>
        <v>4.8046110000000004</v>
      </c>
      <c r="CZ72">
        <f t="shared" si="143"/>
        <v>3.2978879999999999</v>
      </c>
      <c r="DA72">
        <v>9113.3951760594591</v>
      </c>
      <c r="DB72">
        <f t="shared" si="71"/>
        <v>3606355.3086973126</v>
      </c>
      <c r="DC72">
        <f t="shared" si="72"/>
        <v>1558786.5794434024</v>
      </c>
      <c r="DD72">
        <f t="shared" si="73"/>
        <v>270914.58729403553</v>
      </c>
      <c r="DE72">
        <f t="shared" si="74"/>
        <v>1231794.8421604536</v>
      </c>
      <c r="DF72">
        <f t="shared" si="75"/>
        <v>840810.48149814003</v>
      </c>
      <c r="DG72">
        <f t="shared" si="76"/>
        <v>1408115.1727007192</v>
      </c>
      <c r="DH72">
        <f t="shared" si="77"/>
        <v>1026726.3444574919</v>
      </c>
      <c r="DI72">
        <f t="shared" si="78"/>
        <v>607485.12155587308</v>
      </c>
    </row>
    <row r="73" spans="1:113" x14ac:dyDescent="0.3">
      <c r="A73" s="1">
        <v>45776</v>
      </c>
      <c r="B73">
        <v>18</v>
      </c>
      <c r="C73">
        <v>0</v>
      </c>
      <c r="D73">
        <v>0.66990291262135904</v>
      </c>
      <c r="E73">
        <v>0.82298386589365602</v>
      </c>
      <c r="F73">
        <v>-0.56806474673115503</v>
      </c>
      <c r="G73">
        <v>1.01202555103196</v>
      </c>
      <c r="H73">
        <v>0.97811799362332097</v>
      </c>
      <c r="I73">
        <v>0.86936132217336903</v>
      </c>
      <c r="J73">
        <v>1.2805525517592601E-2</v>
      </c>
      <c r="K73">
        <v>14.9309697516859</v>
      </c>
      <c r="L73">
        <v>0.994440711788387</v>
      </c>
      <c r="M73">
        <v>1.55163474281772</v>
      </c>
      <c r="N73">
        <v>0.15951053128338999</v>
      </c>
      <c r="O73">
        <v>3.82959756644708</v>
      </c>
      <c r="P73">
        <v>4.8666315806462901</v>
      </c>
      <c r="Q73">
        <v>3.0610173548294801</v>
      </c>
      <c r="R73">
        <v>0.43003614639667098</v>
      </c>
      <c r="S73">
        <v>3.1393238110146702</v>
      </c>
      <c r="T73">
        <v>2.4334191737966102</v>
      </c>
      <c r="U73">
        <v>11</v>
      </c>
      <c r="V73">
        <v>113</v>
      </c>
      <c r="W73">
        <v>2138</v>
      </c>
      <c r="X73">
        <v>9108.2299592876498</v>
      </c>
      <c r="Y73">
        <f t="shared" si="92"/>
        <v>19473395.652956996</v>
      </c>
      <c r="Z73">
        <f t="shared" si="144"/>
        <v>20.704550014117491</v>
      </c>
      <c r="AA73">
        <f t="shared" si="80"/>
        <v>3.3540235291122995</v>
      </c>
      <c r="AB73">
        <f t="shared" si="81"/>
        <v>4.2750595696342808</v>
      </c>
      <c r="AC73">
        <f t="shared" si="82"/>
        <v>5.8235149901386976</v>
      </c>
      <c r="AD73">
        <f t="shared" si="83"/>
        <v>4.4092487636368736</v>
      </c>
      <c r="AE73">
        <f t="shared" si="84"/>
        <v>4.423217904317462</v>
      </c>
      <c r="AF73">
        <f t="shared" si="85"/>
        <v>7.6986897647995605</v>
      </c>
      <c r="AG73">
        <f t="shared" si="86"/>
        <v>4.2368957778846212</v>
      </c>
      <c r="AH73">
        <f t="shared" si="90"/>
        <v>14.752361412031716</v>
      </c>
      <c r="AI73">
        <f t="shared" si="91"/>
        <v>6.9687240579263854</v>
      </c>
      <c r="AJ73">
        <f t="shared" si="91"/>
        <v>4.6296050148216619</v>
      </c>
      <c r="AK73">
        <f t="shared" si="91"/>
        <v>3.6948385064954095</v>
      </c>
      <c r="AL73">
        <f t="shared" si="91"/>
        <v>2.5944664113759068</v>
      </c>
      <c r="AM73">
        <f t="shared" si="91"/>
        <v>2.3895751703221002</v>
      </c>
      <c r="AN73">
        <f t="shared" si="91"/>
        <v>6.5870344778956778</v>
      </c>
      <c r="AO73">
        <f t="shared" si="91"/>
        <v>3.6424813908642166</v>
      </c>
      <c r="AP73">
        <f t="shared" si="93"/>
        <v>0.63235206186836301</v>
      </c>
      <c r="AQ73">
        <f t="shared" si="94"/>
        <v>0.26429174605660305</v>
      </c>
      <c r="AR73">
        <f t="shared" si="95"/>
        <v>0.47313608179611083</v>
      </c>
      <c r="AS73">
        <f t="shared" si="96"/>
        <v>0.63846522515098347</v>
      </c>
      <c r="AT73">
        <f t="shared" si="97"/>
        <v>0.65991250069744001</v>
      </c>
      <c r="AU73">
        <f t="shared" si="98"/>
        <v>0.71578071794736386</v>
      </c>
      <c r="AV73">
        <f t="shared" si="99"/>
        <v>0.55821487933206249</v>
      </c>
      <c r="AW73">
        <f t="shared" si="100"/>
        <v>0.55084210599454297</v>
      </c>
      <c r="BC73">
        <f t="shared" si="101"/>
        <v>115.14061233404621</v>
      </c>
      <c r="BD73">
        <f t="shared" si="102"/>
        <v>32.886109246951079</v>
      </c>
      <c r="BE73">
        <f t="shared" si="103"/>
        <v>51.628988227593133</v>
      </c>
      <c r="BF73">
        <f t="shared" si="104"/>
        <v>46.143168329090251</v>
      </c>
      <c r="BG73">
        <f t="shared" si="105"/>
        <v>15.432131038572217</v>
      </c>
      <c r="BH73">
        <f t="shared" si="106"/>
        <v>87.693047932592052</v>
      </c>
      <c r="BI73">
        <f t="shared" si="107"/>
        <v>51.55708407084694</v>
      </c>
      <c r="BJ73">
        <f t="shared" si="108"/>
        <v>55.314957255971201</v>
      </c>
      <c r="BK73">
        <f t="shared" si="109"/>
        <v>3.6434043185512208</v>
      </c>
      <c r="BL73">
        <f t="shared" si="110"/>
        <v>-1.7261307948927749</v>
      </c>
      <c r="BM73">
        <f t="shared" si="111"/>
        <v>16.923356106627402</v>
      </c>
      <c r="BN73">
        <f t="shared" si="112"/>
        <v>3.8679448380602943E-2</v>
      </c>
      <c r="BO73">
        <f t="shared" si="113"/>
        <v>4.0167250095091784</v>
      </c>
      <c r="BP73">
        <f t="shared" si="114"/>
        <v>14.309945775156775</v>
      </c>
      <c r="BQ73">
        <f t="shared" si="115"/>
        <v>0</v>
      </c>
      <c r="BR73">
        <f t="shared" si="116"/>
        <v>84.446197310679594</v>
      </c>
      <c r="BS73">
        <f t="shared" si="117"/>
        <v>1.4585616421329406</v>
      </c>
      <c r="BT73">
        <f t="shared" si="118"/>
        <v>-1.0214725936569307</v>
      </c>
      <c r="BU73">
        <f t="shared" si="119"/>
        <v>125.45938</v>
      </c>
      <c r="BV73">
        <f t="shared" si="120"/>
        <v>-47.634938999999996</v>
      </c>
      <c r="BW73">
        <f t="shared" si="121"/>
        <v>455.79609843566305</v>
      </c>
      <c r="BX73">
        <f t="shared" si="122"/>
        <v>1600.1629532987181</v>
      </c>
      <c r="BY73">
        <f t="shared" si="123"/>
        <v>2138</v>
      </c>
      <c r="BZ73">
        <v>2055.9590482664198</v>
      </c>
      <c r="CD73">
        <v>2122.7923158938802</v>
      </c>
      <c r="CG73">
        <f t="shared" si="124"/>
        <v>323.01115915028004</v>
      </c>
      <c r="CH73">
        <f t="shared" si="125"/>
        <v>96.255415993506929</v>
      </c>
      <c r="CI73">
        <f t="shared" si="126"/>
        <v>126.93145527992253</v>
      </c>
      <c r="CJ73">
        <f t="shared" si="127"/>
        <v>190.00620711428957</v>
      </c>
      <c r="CK73">
        <f t="shared" si="128"/>
        <v>98.032871938070244</v>
      </c>
      <c r="CL73">
        <f t="shared" si="129"/>
        <v>128.69633234177212</v>
      </c>
      <c r="CM73">
        <f t="shared" si="130"/>
        <v>126.84810834873642</v>
      </c>
      <c r="CN73">
        <f t="shared" si="131"/>
        <v>79.034769733044314</v>
      </c>
      <c r="CO73">
        <f t="shared" si="132"/>
        <v>597.70486908057956</v>
      </c>
      <c r="CP73">
        <f t="shared" si="133"/>
        <v>404.74521989262229</v>
      </c>
      <c r="CQ73">
        <f t="shared" si="134"/>
        <v>146.7555077277521</v>
      </c>
      <c r="CR73">
        <f t="shared" si="135"/>
        <v>5.6188846794861114</v>
      </c>
      <c r="CS73">
        <f t="shared" si="136"/>
        <v>50.365784670922658</v>
      </c>
      <c r="CT73">
        <f t="shared" si="137"/>
        <v>-23.031313744893197</v>
      </c>
      <c r="CU73">
        <f t="shared" si="138"/>
        <v>0</v>
      </c>
      <c r="CV73">
        <f t="shared" si="139"/>
        <v>56.374199126213576</v>
      </c>
      <c r="CW73">
        <f t="shared" si="140"/>
        <v>-0.60389800257668802</v>
      </c>
      <c r="CX73">
        <f t="shared" si="141"/>
        <v>-499.22723967797577</v>
      </c>
      <c r="CY73">
        <f t="shared" si="142"/>
        <v>4.9809270000000003</v>
      </c>
      <c r="CZ73">
        <f t="shared" si="143"/>
        <v>4.5345959999999996</v>
      </c>
      <c r="DA73">
        <v>9108.2299592876498</v>
      </c>
      <c r="DB73">
        <f t="shared" ref="DB73:DB107" si="145">CG73*$DA73</f>
        <v>2942059.9169568117</v>
      </c>
      <c r="DC73">
        <f t="shared" ref="DC73:DC107" si="146">CH73*$DA73</f>
        <v>876716.46369575546</v>
      </c>
      <c r="DD73">
        <f t="shared" ref="DD73:DD107" si="147">CI73*$DA73</f>
        <v>1156120.883756571</v>
      </c>
      <c r="DE73">
        <f t="shared" ref="DE73:DE107" si="148">CJ73*$DA73</f>
        <v>1730620.2280889864</v>
      </c>
      <c r="DF73">
        <f t="shared" ref="DF73:DF107" si="149">CK73*$DA73</f>
        <v>892905.94118134095</v>
      </c>
      <c r="DG73">
        <f t="shared" ref="DG73:DG107" si="150">CL73*$DA73</f>
        <v>1172195.7898857689</v>
      </c>
      <c r="DH73">
        <f t="shared" ref="DH73:DH107" si="151">CM73*$DA73</f>
        <v>1155361.7407409269</v>
      </c>
      <c r="DI73">
        <f t="shared" ref="DI73:DI107" si="152">CN73*$DA73</f>
        <v>719866.857507915</v>
      </c>
    </row>
    <row r="74" spans="1:113" x14ac:dyDescent="0.3">
      <c r="A74" s="1">
        <v>45783</v>
      </c>
      <c r="B74">
        <v>19</v>
      </c>
      <c r="C74">
        <v>0</v>
      </c>
      <c r="D74">
        <v>0.67961165048543604</v>
      </c>
      <c r="E74">
        <v>0.74851074817110097</v>
      </c>
      <c r="F74">
        <v>-0.66312265824079497</v>
      </c>
      <c r="G74">
        <v>1.00819849206194</v>
      </c>
      <c r="H74">
        <v>0.97428418090036195</v>
      </c>
      <c r="I74">
        <v>0.89385317710370404</v>
      </c>
      <c r="J74">
        <v>7.8376791864026192E-3</v>
      </c>
      <c r="K74">
        <v>5.9728612373721202</v>
      </c>
      <c r="L74">
        <v>0.993370380816332</v>
      </c>
      <c r="M74">
        <v>1.8547111430480701</v>
      </c>
      <c r="N74">
        <v>20.305748228794801</v>
      </c>
      <c r="O74">
        <v>2.9098446769025901</v>
      </c>
      <c r="P74">
        <v>1.3135496015046899</v>
      </c>
      <c r="Q74">
        <v>1.52910551333948</v>
      </c>
      <c r="R74">
        <v>3.42530238207961</v>
      </c>
      <c r="S74">
        <v>2.5421403698025302</v>
      </c>
      <c r="T74">
        <v>0.27774012740656101</v>
      </c>
      <c r="U74">
        <v>14</v>
      </c>
      <c r="V74">
        <v>142</v>
      </c>
      <c r="W74">
        <v>2169</v>
      </c>
      <c r="X74">
        <v>9073.7864285575306</v>
      </c>
      <c r="Y74">
        <f t="shared" si="92"/>
        <v>19681042.763541285</v>
      </c>
      <c r="Z74">
        <f t="shared" si="144"/>
        <v>14.277441151518563</v>
      </c>
      <c r="AA74">
        <f t="shared" si="80"/>
        <v>21.98275999335095</v>
      </c>
      <c r="AB74">
        <f t="shared" si="81"/>
        <v>4.8336214832380167</v>
      </c>
      <c r="AC74">
        <f t="shared" si="82"/>
        <v>3.0606040985462992</v>
      </c>
      <c r="AD74">
        <f t="shared" si="83"/>
        <v>3.0723425806123856</v>
      </c>
      <c r="AE74">
        <f t="shared" si="84"/>
        <v>5.6369113342383415</v>
      </c>
      <c r="AF74">
        <f t="shared" si="85"/>
        <v>7.9312232051622225</v>
      </c>
      <c r="AG74">
        <f t="shared" si="86"/>
        <v>2.608032805243103</v>
      </c>
      <c r="AH74">
        <f t="shared" si="90"/>
        <v>14.752361412031716</v>
      </c>
      <c r="AI74">
        <f t="shared" si="91"/>
        <v>6.9687240579263854</v>
      </c>
      <c r="AJ74">
        <f t="shared" si="91"/>
        <v>4.6296050148216619</v>
      </c>
      <c r="AK74">
        <f t="shared" si="91"/>
        <v>3.6948385064954095</v>
      </c>
      <c r="AL74">
        <f t="shared" si="91"/>
        <v>2.5944664113759068</v>
      </c>
      <c r="AM74">
        <f t="shared" si="91"/>
        <v>2.3895751703221002</v>
      </c>
      <c r="AN74">
        <f t="shared" si="91"/>
        <v>6.5870344778956778</v>
      </c>
      <c r="AO74">
        <f t="shared" si="91"/>
        <v>3.6424813908642166</v>
      </c>
      <c r="AP74">
        <f t="shared" si="93"/>
        <v>0.48691402270050865</v>
      </c>
      <c r="AQ74">
        <f t="shared" si="94"/>
        <v>0.83318313984145254</v>
      </c>
      <c r="AR74">
        <f t="shared" si="95"/>
        <v>0.51455038288872823</v>
      </c>
      <c r="AS74">
        <f t="shared" si="96"/>
        <v>0.44141886071194752</v>
      </c>
      <c r="AT74">
        <f t="shared" si="97"/>
        <v>0.55263534228006062</v>
      </c>
      <c r="AU74">
        <f t="shared" si="98"/>
        <v>0.78369509468752785</v>
      </c>
      <c r="AV74">
        <f t="shared" si="99"/>
        <v>0.56919218371856872</v>
      </c>
      <c r="AW74">
        <f t="shared" si="100"/>
        <v>0.38912468496806396</v>
      </c>
      <c r="BC74">
        <f t="shared" si="101"/>
        <v>88.658805922326579</v>
      </c>
      <c r="BD74">
        <f t="shared" si="102"/>
        <v>103.67388376054495</v>
      </c>
      <c r="BE74">
        <f t="shared" si="103"/>
        <v>56.148149935674716</v>
      </c>
      <c r="BF74">
        <f t="shared" si="104"/>
        <v>31.902230522656779</v>
      </c>
      <c r="BG74">
        <f t="shared" si="105"/>
        <v>12.923442137554265</v>
      </c>
      <c r="BH74">
        <f t="shared" si="106"/>
        <v>96.013499357808115</v>
      </c>
      <c r="BI74">
        <f t="shared" si="107"/>
        <v>52.570954940436771</v>
      </c>
      <c r="BJ74">
        <f t="shared" si="108"/>
        <v>39.075472049090145</v>
      </c>
      <c r="BK74">
        <f t="shared" si="109"/>
        <v>3.629626481455603</v>
      </c>
      <c r="BL74">
        <f t="shared" si="110"/>
        <v>-1.7193650853913711</v>
      </c>
      <c r="BM74">
        <f t="shared" si="111"/>
        <v>17.400124939247796</v>
      </c>
      <c r="BN74">
        <f t="shared" si="112"/>
        <v>2.3673929437546332E-2</v>
      </c>
      <c r="BO74">
        <f t="shared" si="113"/>
        <v>3.6532451809374695</v>
      </c>
      <c r="BP74">
        <f t="shared" si="114"/>
        <v>16.704520631333104</v>
      </c>
      <c r="BQ74">
        <f t="shared" si="115"/>
        <v>0</v>
      </c>
      <c r="BR74">
        <f t="shared" si="116"/>
        <v>85.670055242718334</v>
      </c>
      <c r="BS74">
        <f t="shared" si="117"/>
        <v>0.5834708956951703</v>
      </c>
      <c r="BT74">
        <f t="shared" si="118"/>
        <v>-1.0203731678780623</v>
      </c>
      <c r="BU74">
        <f t="shared" si="119"/>
        <v>157.65692000000001</v>
      </c>
      <c r="BV74">
        <f t="shared" si="120"/>
        <v>-60.626285999999993</v>
      </c>
      <c r="BW74">
        <f t="shared" si="121"/>
        <v>480.96643862609238</v>
      </c>
      <c r="BX74">
        <f t="shared" si="122"/>
        <v>1622.2048591237856</v>
      </c>
      <c r="BY74">
        <f t="shared" si="123"/>
        <v>2169</v>
      </c>
      <c r="BZ74">
        <v>2103.17129579931</v>
      </c>
      <c r="CD74">
        <v>2177.6557064820799</v>
      </c>
      <c r="CG74">
        <f t="shared" si="124"/>
        <v>248.72009180189536</v>
      </c>
      <c r="CH74">
        <f t="shared" si="125"/>
        <v>303.44644099115857</v>
      </c>
      <c r="CI74">
        <f t="shared" si="126"/>
        <v>138.04195331493</v>
      </c>
      <c r="CJ74">
        <f t="shared" si="127"/>
        <v>131.36553122803832</v>
      </c>
      <c r="CK74">
        <f t="shared" si="128"/>
        <v>82.096383506806575</v>
      </c>
      <c r="CL74">
        <f t="shared" si="129"/>
        <v>140.90723853214982</v>
      </c>
      <c r="CM74">
        <f t="shared" si="130"/>
        <v>129.34257839558066</v>
      </c>
      <c r="CN74">
        <f t="shared" si="131"/>
        <v>55.831570497624632</v>
      </c>
      <c r="CO74">
        <f t="shared" si="132"/>
        <v>595.44459830153949</v>
      </c>
      <c r="CP74">
        <f t="shared" si="133"/>
        <v>403.15878821086471</v>
      </c>
      <c r="CQ74">
        <f t="shared" si="134"/>
        <v>150.88993896344374</v>
      </c>
      <c r="CR74">
        <f t="shared" si="135"/>
        <v>3.4390635076009004</v>
      </c>
      <c r="CS74">
        <f t="shared" si="136"/>
        <v>45.808104786258717</v>
      </c>
      <c r="CT74">
        <f t="shared" si="137"/>
        <v>-26.885290948215292</v>
      </c>
      <c r="CU74">
        <f t="shared" si="138"/>
        <v>0</v>
      </c>
      <c r="CV74">
        <f t="shared" si="139"/>
        <v>57.191216504854296</v>
      </c>
      <c r="CW74">
        <f t="shared" si="140"/>
        <v>-0.24157834560675279</v>
      </c>
      <c r="CX74">
        <f t="shared" si="141"/>
        <v>-498.68991415380259</v>
      </c>
      <c r="CY74">
        <f t="shared" si="142"/>
        <v>6.2592179999999997</v>
      </c>
      <c r="CZ74">
        <f t="shared" si="143"/>
        <v>5.7713039999999998</v>
      </c>
      <c r="DA74">
        <v>9073.7864285575306</v>
      </c>
      <c r="DB74">
        <f t="shared" si="145"/>
        <v>2256832.9935016213</v>
      </c>
      <c r="DC74">
        <f t="shared" si="146"/>
        <v>2753408.1980596581</v>
      </c>
      <c r="DD74">
        <f t="shared" si="147"/>
        <v>1252563.2025605841</v>
      </c>
      <c r="DE74">
        <f t="shared" si="148"/>
        <v>1191982.7744372245</v>
      </c>
      <c r="DF74">
        <f t="shared" si="149"/>
        <v>744925.05049771583</v>
      </c>
      <c r="DG74">
        <f t="shared" si="150"/>
        <v>1278562.1886785398</v>
      </c>
      <c r="DH74">
        <f t="shared" si="151"/>
        <v>1173626.9324804582</v>
      </c>
      <c r="DI74">
        <f t="shared" si="152"/>
        <v>506603.74666639941</v>
      </c>
    </row>
    <row r="75" spans="1:113" x14ac:dyDescent="0.3">
      <c r="A75" s="1">
        <v>45790</v>
      </c>
      <c r="B75">
        <v>20</v>
      </c>
      <c r="C75">
        <v>0</v>
      </c>
      <c r="D75">
        <v>0.68932038834951403</v>
      </c>
      <c r="E75">
        <v>0.66312265824079497</v>
      </c>
      <c r="F75">
        <v>-0.74851074817110097</v>
      </c>
      <c r="G75">
        <v>1.0047986304199299</v>
      </c>
      <c r="H75">
        <v>0.97480194465352799</v>
      </c>
      <c r="I75">
        <v>0.88602555050389797</v>
      </c>
      <c r="J75">
        <v>3.9860080678612998E-2</v>
      </c>
      <c r="K75">
        <v>8.0362165821182092</v>
      </c>
      <c r="L75">
        <v>0.98939281831395298</v>
      </c>
      <c r="M75">
        <v>10.985125386719</v>
      </c>
      <c r="N75">
        <v>3.0376204875358099</v>
      </c>
      <c r="O75">
        <v>1.4459672684362901</v>
      </c>
      <c r="P75">
        <v>2.83017577270647</v>
      </c>
      <c r="Q75">
        <v>1.6893546750802</v>
      </c>
      <c r="R75">
        <v>0.63573039081959004</v>
      </c>
      <c r="S75">
        <v>0.93930839027813395</v>
      </c>
      <c r="T75">
        <v>2.9232459821322401</v>
      </c>
      <c r="U75">
        <v>12</v>
      </c>
      <c r="V75">
        <v>130</v>
      </c>
      <c r="W75">
        <v>2155</v>
      </c>
      <c r="X75">
        <v>9043.1876737794391</v>
      </c>
      <c r="Y75">
        <f t="shared" si="92"/>
        <v>19488069.43699469</v>
      </c>
      <c r="Z75">
        <f t="shared" si="144"/>
        <v>19.551590077630138</v>
      </c>
      <c r="AA75">
        <f t="shared" si="80"/>
        <v>14.029000484211284</v>
      </c>
      <c r="AB75">
        <f t="shared" si="81"/>
        <v>3.6210969358933975</v>
      </c>
      <c r="AC75">
        <f t="shared" si="82"/>
        <v>3.7483570022703598</v>
      </c>
      <c r="AD75">
        <f t="shared" si="83"/>
        <v>2.7646745782945348</v>
      </c>
      <c r="AE75">
        <f t="shared" si="84"/>
        <v>3.4541860579387609</v>
      </c>
      <c r="AF75">
        <f t="shared" si="85"/>
        <v>6.4911646338916889</v>
      </c>
      <c r="AG75">
        <f t="shared" si="86"/>
        <v>4.3576640250159464</v>
      </c>
      <c r="AH75">
        <f t="shared" si="90"/>
        <v>14.752361412031716</v>
      </c>
      <c r="AI75">
        <f t="shared" si="91"/>
        <v>6.9687240579263854</v>
      </c>
      <c r="AJ75">
        <f t="shared" si="91"/>
        <v>4.6296050148216619</v>
      </c>
      <c r="AK75">
        <f t="shared" si="91"/>
        <v>3.6948385064954095</v>
      </c>
      <c r="AL75">
        <f t="shared" si="91"/>
        <v>2.5944664113759068</v>
      </c>
      <c r="AM75">
        <f t="shared" si="91"/>
        <v>2.3895751703221002</v>
      </c>
      <c r="AN75">
        <f t="shared" si="91"/>
        <v>6.5870344778956778</v>
      </c>
      <c r="AO75">
        <f t="shared" si="91"/>
        <v>3.6424813908642166</v>
      </c>
      <c r="AP75">
        <f t="shared" si="93"/>
        <v>0.61079270164735655</v>
      </c>
      <c r="AQ75">
        <f t="shared" si="94"/>
        <v>0.72702334424424464</v>
      </c>
      <c r="AR75">
        <f t="shared" si="95"/>
        <v>0.41783004931248113</v>
      </c>
      <c r="AS75">
        <f t="shared" si="96"/>
        <v>0.5044938676640619</v>
      </c>
      <c r="AT75">
        <f t="shared" si="97"/>
        <v>0.51984646137215418</v>
      </c>
      <c r="AU75">
        <f t="shared" si="98"/>
        <v>0.63476337785838721</v>
      </c>
      <c r="AV75">
        <f t="shared" si="99"/>
        <v>0.49450224205109822</v>
      </c>
      <c r="AW75">
        <f t="shared" si="100"/>
        <v>0.5602103603656392</v>
      </c>
      <c r="BC75">
        <f t="shared" si="101"/>
        <v>111.21501757905715</v>
      </c>
      <c r="BD75">
        <f t="shared" si="102"/>
        <v>90.464304998686558</v>
      </c>
      <c r="BE75">
        <f t="shared" si="103"/>
        <v>45.593949662847443</v>
      </c>
      <c r="BF75">
        <f t="shared" si="104"/>
        <v>36.460788371225092</v>
      </c>
      <c r="BG75">
        <f t="shared" si="105"/>
        <v>12.156670321223807</v>
      </c>
      <c r="BH75">
        <f t="shared" si="106"/>
        <v>77.767302086618884</v>
      </c>
      <c r="BI75">
        <f t="shared" si="107"/>
        <v>45.672544051776583</v>
      </c>
      <c r="BJ75">
        <f t="shared" si="108"/>
        <v>56.255707036100368</v>
      </c>
      <c r="BK75">
        <f t="shared" si="109"/>
        <v>3.6173866021597241</v>
      </c>
      <c r="BL75">
        <f t="shared" si="110"/>
        <v>-1.7202788074214796</v>
      </c>
      <c r="BM75">
        <f t="shared" si="111"/>
        <v>17.247749040942292</v>
      </c>
      <c r="BN75">
        <f t="shared" si="112"/>
        <v>0.12039848977200956</v>
      </c>
      <c r="BO75">
        <f t="shared" si="113"/>
        <v>3.2364928112359741</v>
      </c>
      <c r="BP75">
        <f t="shared" si="114"/>
        <v>18.855505961400013</v>
      </c>
      <c r="BQ75">
        <f t="shared" si="115"/>
        <v>0</v>
      </c>
      <c r="BR75">
        <f t="shared" si="116"/>
        <v>86.893913174757216</v>
      </c>
      <c r="BS75">
        <f t="shared" si="117"/>
        <v>0.78503388925738149</v>
      </c>
      <c r="BT75">
        <f t="shared" si="118"/>
        <v>-1.0162874832941811</v>
      </c>
      <c r="BU75">
        <f t="shared" si="119"/>
        <v>144.3338</v>
      </c>
      <c r="BV75">
        <f t="shared" si="120"/>
        <v>-51.965387999999997</v>
      </c>
      <c r="BW75">
        <f t="shared" si="121"/>
        <v>475.5862841075359</v>
      </c>
      <c r="BX75">
        <f t="shared" si="122"/>
        <v>1620.6375717550391</v>
      </c>
      <c r="BY75">
        <f t="shared" si="123"/>
        <v>2155</v>
      </c>
      <c r="BZ75">
        <v>2096.2238537082499</v>
      </c>
      <c r="CD75">
        <v>2174.6452157446402</v>
      </c>
      <c r="CG75">
        <f t="shared" si="124"/>
        <v>311.99844272938316</v>
      </c>
      <c r="CH75">
        <f t="shared" si="125"/>
        <v>264.78289799573554</v>
      </c>
      <c r="CI75">
        <f t="shared" si="126"/>
        <v>112.09412737574685</v>
      </c>
      <c r="CJ75">
        <f t="shared" si="127"/>
        <v>150.13655016935118</v>
      </c>
      <c r="CK75">
        <f t="shared" si="128"/>
        <v>77.225452649094009</v>
      </c>
      <c r="CL75">
        <f t="shared" si="129"/>
        <v>114.1295323929866</v>
      </c>
      <c r="CM75">
        <f t="shared" si="130"/>
        <v>112.37012179511768</v>
      </c>
      <c r="CN75">
        <f t="shared" si="131"/>
        <v>80.378925924015505</v>
      </c>
      <c r="CO75">
        <f t="shared" si="132"/>
        <v>593.43663135292081</v>
      </c>
      <c r="CP75">
        <f t="shared" si="133"/>
        <v>403.37303884881823</v>
      </c>
      <c r="CQ75">
        <f t="shared" si="134"/>
        <v>149.56856971609102</v>
      </c>
      <c r="CR75">
        <f t="shared" si="135"/>
        <v>17.490043367641849</v>
      </c>
      <c r="CS75">
        <f t="shared" si="136"/>
        <v>40.582439582942463</v>
      </c>
      <c r="CT75">
        <f t="shared" si="137"/>
        <v>-30.347220069109596</v>
      </c>
      <c r="CU75">
        <f t="shared" si="138"/>
        <v>0</v>
      </c>
      <c r="CV75">
        <f t="shared" si="139"/>
        <v>58.008233883495102</v>
      </c>
      <c r="CW75">
        <f t="shared" si="140"/>
        <v>-0.3250328158803531</v>
      </c>
      <c r="CX75">
        <f t="shared" si="141"/>
        <v>-496.69310577179431</v>
      </c>
      <c r="CY75">
        <f t="shared" si="142"/>
        <v>5.73027</v>
      </c>
      <c r="CZ75">
        <f t="shared" si="143"/>
        <v>4.9468319999999997</v>
      </c>
      <c r="DA75">
        <v>9043.1876737794391</v>
      </c>
      <c r="DB75">
        <f t="shared" si="145"/>
        <v>2821460.4715287383</v>
      </c>
      <c r="DC75">
        <f t="shared" si="146"/>
        <v>2394481.4393826341</v>
      </c>
      <c r="DD75">
        <f t="shared" si="147"/>
        <v>1013688.2309874163</v>
      </c>
      <c r="DE75">
        <f t="shared" si="148"/>
        <v>1357712.9998752449</v>
      </c>
      <c r="DF75">
        <f t="shared" si="149"/>
        <v>698364.26149832469</v>
      </c>
      <c r="DG75">
        <f t="shared" si="150"/>
        <v>1032094.7805504677</v>
      </c>
      <c r="DH75">
        <f t="shared" si="151"/>
        <v>1016184.1003187025</v>
      </c>
      <c r="DI75">
        <f t="shared" si="152"/>
        <v>726881.71214768768</v>
      </c>
    </row>
    <row r="76" spans="1:113" x14ac:dyDescent="0.3">
      <c r="A76" s="1">
        <v>45797</v>
      </c>
      <c r="B76">
        <v>21</v>
      </c>
      <c r="C76">
        <v>0</v>
      </c>
      <c r="D76">
        <v>0.69902912621359203</v>
      </c>
      <c r="E76">
        <v>0.56806474673115503</v>
      </c>
      <c r="F76">
        <v>-0.82298386589365602</v>
      </c>
      <c r="G76">
        <v>1.00204027356193</v>
      </c>
      <c r="H76">
        <v>0.97953921842276004</v>
      </c>
      <c r="I76">
        <v>0.88965580296595403</v>
      </c>
      <c r="J76">
        <v>2.3459582419060699E-2</v>
      </c>
      <c r="K76">
        <v>3.37362535678868</v>
      </c>
      <c r="L76">
        <v>0.98732580439868101</v>
      </c>
      <c r="M76">
        <v>5.8435670565024402</v>
      </c>
      <c r="N76">
        <v>2.19575613211396</v>
      </c>
      <c r="O76">
        <v>3.37244577712001</v>
      </c>
      <c r="P76">
        <v>4.66064750817484</v>
      </c>
      <c r="Q76">
        <v>1.62691272745107</v>
      </c>
      <c r="R76">
        <v>1.36072195439692</v>
      </c>
      <c r="S76">
        <v>1.6913046014198201</v>
      </c>
      <c r="T76">
        <v>0.577675293381814</v>
      </c>
      <c r="U76">
        <v>12</v>
      </c>
      <c r="V76">
        <v>109</v>
      </c>
      <c r="W76">
        <v>2107</v>
      </c>
      <c r="X76">
        <v>9018.3624620573901</v>
      </c>
      <c r="Y76">
        <f t="shared" si="92"/>
        <v>19001689.707554922</v>
      </c>
      <c r="Z76">
        <f t="shared" si="144"/>
        <v>17.574521103080521</v>
      </c>
      <c r="AA76">
        <f t="shared" si="80"/>
        <v>9.2102563742196022</v>
      </c>
      <c r="AB76">
        <f t="shared" si="81"/>
        <v>5.0019393982720395</v>
      </c>
      <c r="AC76">
        <f t="shared" si="82"/>
        <v>5.7851546088559473</v>
      </c>
      <c r="AD76">
        <f t="shared" si="83"/>
        <v>2.594548829854157</v>
      </c>
      <c r="AE76">
        <f t="shared" si="84"/>
        <v>3.0878149833663002</v>
      </c>
      <c r="AF76">
        <f t="shared" si="85"/>
        <v>6.235119845144002</v>
      </c>
      <c r="AG76">
        <f t="shared" si="86"/>
        <v>2.9743905071405847</v>
      </c>
      <c r="AH76">
        <f t="shared" si="90"/>
        <v>14.752361412031716</v>
      </c>
      <c r="AI76">
        <f t="shared" si="91"/>
        <v>6.9687240579263854</v>
      </c>
      <c r="AJ76">
        <f t="shared" si="91"/>
        <v>4.6296050148216619</v>
      </c>
      <c r="AK76">
        <f t="shared" si="91"/>
        <v>3.6948385064954095</v>
      </c>
      <c r="AL76">
        <f t="shared" si="91"/>
        <v>2.5944664113759068</v>
      </c>
      <c r="AM76">
        <f t="shared" si="91"/>
        <v>2.3895751703221002</v>
      </c>
      <c r="AN76">
        <f t="shared" si="91"/>
        <v>6.5870344778956778</v>
      </c>
      <c r="AO76">
        <f t="shared" si="91"/>
        <v>3.6424813908642166</v>
      </c>
      <c r="AP76">
        <f t="shared" si="93"/>
        <v>0.56956466909354242</v>
      </c>
      <c r="AQ76">
        <f t="shared" si="94"/>
        <v>0.59638855723920725</v>
      </c>
      <c r="AR76">
        <f t="shared" si="95"/>
        <v>0.52608333038526878</v>
      </c>
      <c r="AS76">
        <f t="shared" si="96"/>
        <v>0.63655614582842568</v>
      </c>
      <c r="AT76">
        <f t="shared" si="97"/>
        <v>0.50000992703750313</v>
      </c>
      <c r="AU76">
        <f t="shared" si="98"/>
        <v>0.59496333255318801</v>
      </c>
      <c r="AV76">
        <f t="shared" si="99"/>
        <v>0.47942208878096271</v>
      </c>
      <c r="AW76">
        <f t="shared" si="100"/>
        <v>0.4320369847869574</v>
      </c>
      <c r="BC76">
        <f t="shared" si="101"/>
        <v>103.70809034686235</v>
      </c>
      <c r="BD76">
        <f t="shared" si="102"/>
        <v>74.209276451636285</v>
      </c>
      <c r="BE76">
        <f t="shared" si="103"/>
        <v>57.406634404388164</v>
      </c>
      <c r="BF76">
        <f t="shared" si="104"/>
        <v>46.005195319654163</v>
      </c>
      <c r="BG76">
        <f t="shared" si="105"/>
        <v>11.692790644933474</v>
      </c>
      <c r="BH76">
        <f t="shared" si="106"/>
        <v>72.891245505104735</v>
      </c>
      <c r="BI76">
        <f t="shared" si="107"/>
        <v>44.279731429368624</v>
      </c>
      <c r="BJ76">
        <f t="shared" si="108"/>
        <v>43.384677907549026</v>
      </c>
      <c r="BK76">
        <f t="shared" si="109"/>
        <v>3.6074562112933135</v>
      </c>
      <c r="BL76">
        <f t="shared" si="110"/>
        <v>-1.7286388970939106</v>
      </c>
      <c r="BM76">
        <f t="shared" si="111"/>
        <v>17.318417074595718</v>
      </c>
      <c r="BN76">
        <f t="shared" si="112"/>
        <v>7.0860325565080581E-2</v>
      </c>
      <c r="BO76">
        <f t="shared" si="113"/>
        <v>2.7725450883995473</v>
      </c>
      <c r="BP76">
        <f t="shared" si="114"/>
        <v>20.731535555647991</v>
      </c>
      <c r="BQ76">
        <f t="shared" si="115"/>
        <v>0</v>
      </c>
      <c r="BR76">
        <f t="shared" si="116"/>
        <v>88.117771106796084</v>
      </c>
      <c r="BS76">
        <f t="shared" si="117"/>
        <v>0.32955934022861577</v>
      </c>
      <c r="BT76">
        <f t="shared" si="118"/>
        <v>-1.0141642817396503</v>
      </c>
      <c r="BU76">
        <f t="shared" si="119"/>
        <v>121.01834000000001</v>
      </c>
      <c r="BV76">
        <f t="shared" si="120"/>
        <v>-51.965387999999997</v>
      </c>
      <c r="BW76">
        <f t="shared" si="121"/>
        <v>453.5776420094968</v>
      </c>
      <c r="BX76">
        <f t="shared" si="122"/>
        <v>1599.5075395999229</v>
      </c>
      <c r="BY76">
        <f t="shared" si="123"/>
        <v>2107</v>
      </c>
      <c r="BZ76">
        <v>2053.0851800669502</v>
      </c>
      <c r="CD76">
        <v>2128.4601330390301</v>
      </c>
      <c r="CG76">
        <f t="shared" si="124"/>
        <v>290.93879038106013</v>
      </c>
      <c r="CH76">
        <f t="shared" si="125"/>
        <v>217.2055295988427</v>
      </c>
      <c r="CI76">
        <f t="shared" si="126"/>
        <v>141.13597608285252</v>
      </c>
      <c r="CJ76">
        <f t="shared" si="127"/>
        <v>189.43806822924105</v>
      </c>
      <c r="CK76">
        <f t="shared" si="128"/>
        <v>74.278649204593776</v>
      </c>
      <c r="CL76">
        <f t="shared" si="129"/>
        <v>106.97354211637766</v>
      </c>
      <c r="CM76">
        <f t="shared" si="130"/>
        <v>108.94332507802805</v>
      </c>
      <c r="CN76">
        <f t="shared" si="131"/>
        <v>61.988622941497177</v>
      </c>
      <c r="CO76">
        <f t="shared" si="132"/>
        <v>591.80753876429287</v>
      </c>
      <c r="CP76">
        <f t="shared" si="133"/>
        <v>405.33332270610282</v>
      </c>
      <c r="CQ76">
        <f t="shared" si="134"/>
        <v>150.18138688389081</v>
      </c>
      <c r="CR76">
        <f t="shared" si="135"/>
        <v>10.293735158350847</v>
      </c>
      <c r="CS76">
        <f t="shared" si="136"/>
        <v>34.764991026811479</v>
      </c>
      <c r="CT76">
        <f t="shared" si="137"/>
        <v>-33.366618385408003</v>
      </c>
      <c r="CU76">
        <f t="shared" si="138"/>
        <v>0</v>
      </c>
      <c r="CV76">
        <f t="shared" si="139"/>
        <v>58.8252512621359</v>
      </c>
      <c r="CW76">
        <f t="shared" si="140"/>
        <v>-0.13644965118067495</v>
      </c>
      <c r="CX76">
        <f t="shared" si="141"/>
        <v>-495.65542736717487</v>
      </c>
      <c r="CY76">
        <f t="shared" si="142"/>
        <v>4.8046110000000004</v>
      </c>
      <c r="CZ76">
        <f t="shared" si="143"/>
        <v>4.9468319999999997</v>
      </c>
      <c r="DA76">
        <v>9018.3624620573901</v>
      </c>
      <c r="DB76">
        <f t="shared" si="145"/>
        <v>2623791.4659289364</v>
      </c>
      <c r="DC76">
        <f t="shared" si="146"/>
        <v>1958838.1946854985</v>
      </c>
      <c r="DD76">
        <f t="shared" si="147"/>
        <v>1272815.3887514267</v>
      </c>
      <c r="DE76">
        <f t="shared" si="148"/>
        <v>1708421.1634032542</v>
      </c>
      <c r="DF76">
        <f t="shared" si="149"/>
        <v>669871.78171903756</v>
      </c>
      <c r="DG76">
        <f t="shared" si="150"/>
        <v>964726.17665565549</v>
      </c>
      <c r="DH76">
        <f t="shared" si="151"/>
        <v>982490.39337540371</v>
      </c>
      <c r="DI76">
        <f t="shared" si="152"/>
        <v>559035.87021022767</v>
      </c>
    </row>
    <row r="77" spans="1:113" x14ac:dyDescent="0.3">
      <c r="A77" s="1">
        <v>45804</v>
      </c>
      <c r="B77">
        <v>22</v>
      </c>
      <c r="C77">
        <v>0</v>
      </c>
      <c r="D77">
        <v>0.70873786407766903</v>
      </c>
      <c r="E77">
        <v>0.46472317204376901</v>
      </c>
      <c r="F77">
        <v>-0.88545602565320902</v>
      </c>
      <c r="G77">
        <v>1.0035317557940899</v>
      </c>
      <c r="H77">
        <v>0.98001919326347997</v>
      </c>
      <c r="I77">
        <v>0.86886481974190799</v>
      </c>
      <c r="J77">
        <v>3.6470849739562002E-2</v>
      </c>
      <c r="K77">
        <v>8.7466632413234997</v>
      </c>
      <c r="L77">
        <v>0.98460987637871</v>
      </c>
      <c r="M77">
        <v>13.5307071681741</v>
      </c>
      <c r="N77">
        <v>0.175355469497742</v>
      </c>
      <c r="O77">
        <v>3.9751767766574302</v>
      </c>
      <c r="P77">
        <v>1.7930392653540601</v>
      </c>
      <c r="Q77">
        <v>0.97765034745335999</v>
      </c>
      <c r="R77">
        <v>0.18031633809882699</v>
      </c>
      <c r="S77">
        <v>0.225203202857583</v>
      </c>
      <c r="T77">
        <v>0.23667213896139599</v>
      </c>
      <c r="U77">
        <v>6</v>
      </c>
      <c r="V77">
        <v>131</v>
      </c>
      <c r="W77">
        <v>1964</v>
      </c>
      <c r="X77">
        <v>9031.7858021468401</v>
      </c>
      <c r="Y77">
        <f t="shared" si="92"/>
        <v>17738427.315416396</v>
      </c>
      <c r="Z77">
        <f t="shared" si="144"/>
        <v>24.075419830022412</v>
      </c>
      <c r="AA77">
        <f t="shared" si="80"/>
        <v>4.7804836566075428</v>
      </c>
      <c r="AB77">
        <f t="shared" si="81"/>
        <v>6.226049505879848</v>
      </c>
      <c r="AC77">
        <f t="shared" si="82"/>
        <v>3.5285856480108442</v>
      </c>
      <c r="AD77">
        <f t="shared" si="83"/>
        <v>1.8857424379023149</v>
      </c>
      <c r="AE77">
        <f t="shared" si="84"/>
        <v>1.7242238297819772</v>
      </c>
      <c r="AF77">
        <f t="shared" si="85"/>
        <v>4.5897870944583836</v>
      </c>
      <c r="AG77">
        <f t="shared" si="86"/>
        <v>1.8725869178887176</v>
      </c>
      <c r="AH77">
        <f t="shared" si="90"/>
        <v>14.752361412031716</v>
      </c>
      <c r="AI77">
        <f t="shared" si="91"/>
        <v>6.9687240579263854</v>
      </c>
      <c r="AJ77">
        <f t="shared" si="91"/>
        <v>4.6296050148216619</v>
      </c>
      <c r="AK77">
        <f t="shared" si="91"/>
        <v>3.6948385064954095</v>
      </c>
      <c r="AL77">
        <f t="shared" si="91"/>
        <v>2.5944664113759068</v>
      </c>
      <c r="AM77">
        <f t="shared" si="91"/>
        <v>2.3895751703221002</v>
      </c>
      <c r="AN77">
        <f t="shared" si="91"/>
        <v>6.5870344778956778</v>
      </c>
      <c r="AO77">
        <f t="shared" si="91"/>
        <v>3.6424813908642166</v>
      </c>
      <c r="AP77">
        <f t="shared" si="93"/>
        <v>0.68646864262513052</v>
      </c>
      <c r="AQ77">
        <f t="shared" si="94"/>
        <v>0.37106595067116166</v>
      </c>
      <c r="AR77">
        <f t="shared" si="95"/>
        <v>0.59867928294076034</v>
      </c>
      <c r="AS77">
        <f t="shared" si="96"/>
        <v>0.4856165560920746</v>
      </c>
      <c r="AT77">
        <f t="shared" si="97"/>
        <v>0.40159490005043258</v>
      </c>
      <c r="AU77">
        <f t="shared" si="98"/>
        <v>0.38000950010229129</v>
      </c>
      <c r="AV77">
        <f t="shared" si="99"/>
        <v>0.36774467967062263</v>
      </c>
      <c r="AW77">
        <f t="shared" si="100"/>
        <v>0.28941749450580984</v>
      </c>
      <c r="BC77">
        <f t="shared" si="101"/>
        <v>124.99432614554033</v>
      </c>
      <c r="BD77">
        <f t="shared" si="102"/>
        <v>46.172139590701029</v>
      </c>
      <c r="BE77">
        <f t="shared" si="103"/>
        <v>65.328362896601405</v>
      </c>
      <c r="BF77">
        <f t="shared" si="104"/>
        <v>35.096487026134753</v>
      </c>
      <c r="BG77">
        <f t="shared" si="105"/>
        <v>9.3913437242826721</v>
      </c>
      <c r="BH77">
        <f t="shared" si="106"/>
        <v>46.556424994059597</v>
      </c>
      <c r="BI77">
        <f t="shared" si="107"/>
        <v>33.965134338718379</v>
      </c>
      <c r="BJ77">
        <f t="shared" si="108"/>
        <v>29.062985860194477</v>
      </c>
      <c r="BK77">
        <f t="shared" si="109"/>
        <v>3.612825712883617</v>
      </c>
      <c r="BL77">
        <f t="shared" si="110"/>
        <v>-1.7294859312541466</v>
      </c>
      <c r="BM77">
        <f t="shared" si="111"/>
        <v>16.913690979779552</v>
      </c>
      <c r="BN77">
        <f t="shared" si="112"/>
        <v>0.11016122282213973</v>
      </c>
      <c r="BO77">
        <f t="shared" si="113"/>
        <v>2.2681674149464426</v>
      </c>
      <c r="BP77">
        <f t="shared" si="114"/>
        <v>22.305252678142164</v>
      </c>
      <c r="BQ77">
        <f t="shared" si="115"/>
        <v>0</v>
      </c>
      <c r="BR77">
        <f t="shared" si="116"/>
        <v>89.341629038834839</v>
      </c>
      <c r="BS77">
        <f t="shared" si="117"/>
        <v>0.85443529205516866</v>
      </c>
      <c r="BT77">
        <f t="shared" si="118"/>
        <v>-1.0113745266483125</v>
      </c>
      <c r="BU77">
        <f t="shared" si="119"/>
        <v>145.44406000000001</v>
      </c>
      <c r="BV77">
        <f t="shared" si="120"/>
        <v>-25.982693999999999</v>
      </c>
      <c r="BW77">
        <f t="shared" si="121"/>
        <v>390.56720457623265</v>
      </c>
      <c r="BX77">
        <f t="shared" si="122"/>
        <v>1652.3759139577915</v>
      </c>
      <c r="BY77">
        <f t="shared" si="123"/>
        <v>1964</v>
      </c>
      <c r="BZ77">
        <v>2042.9431172694301</v>
      </c>
      <c r="CD77">
        <v>1976.44172519676</v>
      </c>
      <c r="CG77">
        <f t="shared" si="124"/>
        <v>350.65439862647565</v>
      </c>
      <c r="CH77">
        <f t="shared" si="125"/>
        <v>135.14272759478951</v>
      </c>
      <c r="CI77">
        <f t="shared" si="126"/>
        <v>160.61178919420951</v>
      </c>
      <c r="CJ77">
        <f t="shared" si="127"/>
        <v>144.5186931099322</v>
      </c>
      <c r="CK77">
        <f t="shared" si="128"/>
        <v>59.658668938712083</v>
      </c>
      <c r="CL77">
        <f t="shared" si="129"/>
        <v>68.325155584578823</v>
      </c>
      <c r="CM77">
        <f t="shared" si="130"/>
        <v>83.565878837460033</v>
      </c>
      <c r="CN77">
        <f t="shared" si="131"/>
        <v>41.525592880526645</v>
      </c>
      <c r="CO77">
        <f t="shared" si="132"/>
        <v>592.68841197090319</v>
      </c>
      <c r="CP77">
        <f t="shared" si="133"/>
        <v>405.53193629231288</v>
      </c>
      <c r="CQ77">
        <f t="shared" si="134"/>
        <v>146.67169393875702</v>
      </c>
      <c r="CR77">
        <f t="shared" si="135"/>
        <v>16.002896450280964</v>
      </c>
      <c r="CS77">
        <f t="shared" si="136"/>
        <v>28.440590617567587</v>
      </c>
      <c r="CT77">
        <f t="shared" si="137"/>
        <v>-35.899456270566013</v>
      </c>
      <c r="CU77">
        <f t="shared" si="138"/>
        <v>0</v>
      </c>
      <c r="CV77">
        <f t="shared" si="139"/>
        <v>59.642268640776621</v>
      </c>
      <c r="CW77">
        <f t="shared" si="140"/>
        <v>-0.35376754145857031</v>
      </c>
      <c r="CX77">
        <f t="shared" si="141"/>
        <v>-494.29198233470453</v>
      </c>
      <c r="CY77">
        <f t="shared" si="142"/>
        <v>5.774349</v>
      </c>
      <c r="CZ77">
        <f t="shared" si="143"/>
        <v>2.4734159999999998</v>
      </c>
      <c r="DA77">
        <v>9031.7858021468401</v>
      </c>
      <c r="DB77">
        <f t="shared" si="145"/>
        <v>3167035.4189749411</v>
      </c>
      <c r="DC77">
        <f t="shared" si="146"/>
        <v>1220580.1683540179</v>
      </c>
      <c r="DD77">
        <f t="shared" si="147"/>
        <v>1450611.2773016626</v>
      </c>
      <c r="DE77">
        <f t="shared" si="148"/>
        <v>1305261.8805751021</v>
      </c>
      <c r="DF77">
        <f t="shared" si="149"/>
        <v>538824.31909563846</v>
      </c>
      <c r="DG77">
        <f t="shared" si="150"/>
        <v>617098.17013827292</v>
      </c>
      <c r="DH77">
        <f t="shared" si="151"/>
        <v>754749.11802809464</v>
      </c>
      <c r="DI77">
        <f t="shared" si="152"/>
        <v>375050.26020407048</v>
      </c>
    </row>
    <row r="78" spans="1:113" x14ac:dyDescent="0.3">
      <c r="A78" s="1">
        <v>45811</v>
      </c>
      <c r="B78">
        <v>23</v>
      </c>
      <c r="C78">
        <v>0</v>
      </c>
      <c r="D78">
        <v>0.71844660194174703</v>
      </c>
      <c r="E78">
        <v>0.35460488704253501</v>
      </c>
      <c r="F78">
        <v>-0.93501624268541395</v>
      </c>
      <c r="G78">
        <v>1.0039590330023</v>
      </c>
      <c r="H78">
        <v>0.97966327828514999</v>
      </c>
      <c r="I78">
        <v>0.89704137510684401</v>
      </c>
      <c r="J78">
        <v>1.8403748606952E-2</v>
      </c>
      <c r="K78">
        <v>1.0064087720473101</v>
      </c>
      <c r="L78">
        <v>0.98123520071178305</v>
      </c>
      <c r="M78">
        <v>3.6049701650669199</v>
      </c>
      <c r="N78">
        <v>2.28719149094883</v>
      </c>
      <c r="O78">
        <v>2.4919754024638898</v>
      </c>
      <c r="P78">
        <v>3.3160183122096698</v>
      </c>
      <c r="Q78">
        <v>1.7163883195382099</v>
      </c>
      <c r="R78">
        <v>0.56901209205136905</v>
      </c>
      <c r="S78">
        <v>1.7402859718556301</v>
      </c>
      <c r="T78">
        <v>0.72539538550701199</v>
      </c>
      <c r="U78">
        <v>7</v>
      </c>
      <c r="V78">
        <v>121</v>
      </c>
      <c r="W78">
        <v>1934</v>
      </c>
      <c r="X78">
        <v>9035.6312970207491</v>
      </c>
      <c r="Y78">
        <f t="shared" si="92"/>
        <v>17474910.928438127</v>
      </c>
      <c r="Z78">
        <f t="shared" si="144"/>
        <v>18.050222063080366</v>
      </c>
      <c r="AA78">
        <f t="shared" si="80"/>
        <v>4.6774333192526019</v>
      </c>
      <c r="AB78">
        <f t="shared" si="81"/>
        <v>5.2936976801098217</v>
      </c>
      <c r="AC78">
        <f t="shared" si="82"/>
        <v>4.3745940066129227</v>
      </c>
      <c r="AD78">
        <f t="shared" si="83"/>
        <v>2.37639817280402</v>
      </c>
      <c r="AE78">
        <f t="shared" si="84"/>
        <v>1.4311240069423576</v>
      </c>
      <c r="AF78">
        <f t="shared" si="85"/>
        <v>4.953136937976498</v>
      </c>
      <c r="AG78">
        <f t="shared" si="86"/>
        <v>1.7553181903458066</v>
      </c>
      <c r="AH78">
        <f t="shared" si="90"/>
        <v>14.752361412031716</v>
      </c>
      <c r="AI78">
        <f t="shared" si="91"/>
        <v>6.9687240579263854</v>
      </c>
      <c r="AJ78">
        <f t="shared" si="91"/>
        <v>4.6296050148216619</v>
      </c>
      <c r="AK78">
        <f t="shared" si="91"/>
        <v>3.6948385064954095</v>
      </c>
      <c r="AL78">
        <f t="shared" si="91"/>
        <v>2.5944664113759068</v>
      </c>
      <c r="AM78">
        <f t="shared" si="91"/>
        <v>2.3895751703221002</v>
      </c>
      <c r="AN78">
        <f t="shared" si="91"/>
        <v>6.5870344778956778</v>
      </c>
      <c r="AO78">
        <f t="shared" si="91"/>
        <v>3.6424813908642166</v>
      </c>
      <c r="AP78">
        <f t="shared" si="93"/>
        <v>0.58000836091356467</v>
      </c>
      <c r="AQ78">
        <f t="shared" si="94"/>
        <v>0.36397430901528466</v>
      </c>
      <c r="AR78">
        <f t="shared" si="95"/>
        <v>0.54511728233225165</v>
      </c>
      <c r="AS78">
        <f t="shared" si="96"/>
        <v>0.55257891671344761</v>
      </c>
      <c r="AT78">
        <f t="shared" si="97"/>
        <v>0.47259159478922064</v>
      </c>
      <c r="AU78">
        <f t="shared" si="98"/>
        <v>0.31669910930977463</v>
      </c>
      <c r="AV78">
        <f t="shared" si="99"/>
        <v>0.39469402852474472</v>
      </c>
      <c r="AW78">
        <f t="shared" si="100"/>
        <v>0.27179781842634576</v>
      </c>
      <c r="BC78">
        <f t="shared" si="101"/>
        <v>105.60970994091018</v>
      </c>
      <c r="BD78">
        <f t="shared" si="102"/>
        <v>45.289718910845771</v>
      </c>
      <c r="BE78">
        <f t="shared" si="103"/>
        <v>59.483634487038451</v>
      </c>
      <c r="BF78">
        <f t="shared" si="104"/>
        <v>39.935991757398035</v>
      </c>
      <c r="BG78">
        <f t="shared" si="105"/>
        <v>11.051609737362515</v>
      </c>
      <c r="BH78">
        <f t="shared" si="106"/>
        <v>38.800025589615785</v>
      </c>
      <c r="BI78">
        <f t="shared" si="107"/>
        <v>36.45419347341771</v>
      </c>
      <c r="BJ78">
        <f t="shared" si="108"/>
        <v>27.293637405177734</v>
      </c>
      <c r="BK78">
        <f t="shared" si="109"/>
        <v>3.6143639582609435</v>
      </c>
      <c r="BL78">
        <f t="shared" si="110"/>
        <v>-1.7288578313638836</v>
      </c>
      <c r="BM78">
        <f t="shared" si="111"/>
        <v>17.46218775337287</v>
      </c>
      <c r="BN78">
        <f t="shared" si="112"/>
        <v>5.558903797225951E-2</v>
      </c>
      <c r="BO78">
        <f t="shared" si="113"/>
        <v>1.730714753115195</v>
      </c>
      <c r="BP78">
        <f t="shared" si="114"/>
        <v>23.553708989534247</v>
      </c>
      <c r="BQ78">
        <f t="shared" si="115"/>
        <v>0</v>
      </c>
      <c r="BR78">
        <f t="shared" si="116"/>
        <v>90.565486970873721</v>
      </c>
      <c r="BS78">
        <f t="shared" si="117"/>
        <v>9.8313053714985568E-2</v>
      </c>
      <c r="BT78">
        <f t="shared" si="118"/>
        <v>-1.0079081171727313</v>
      </c>
      <c r="BU78">
        <f t="shared" si="119"/>
        <v>134.34146000000001</v>
      </c>
      <c r="BV78">
        <f t="shared" si="120"/>
        <v>-30.313142999999997</v>
      </c>
      <c r="BW78">
        <f t="shared" si="121"/>
        <v>363.91852130176619</v>
      </c>
      <c r="BX78">
        <f t="shared" si="122"/>
        <v>1638.6211616445378</v>
      </c>
      <c r="BY78">
        <f t="shared" si="123"/>
        <v>1934</v>
      </c>
      <c r="BZ78">
        <v>2002.53968295048</v>
      </c>
      <c r="CD78">
        <v>1918.77725039955</v>
      </c>
      <c r="CG78">
        <f t="shared" si="124"/>
        <v>296.27352273035689</v>
      </c>
      <c r="CH78">
        <f t="shared" si="125"/>
        <v>132.55994198817001</v>
      </c>
      <c r="CI78">
        <f t="shared" si="126"/>
        <v>146.24234465907071</v>
      </c>
      <c r="CJ78">
        <f t="shared" si="127"/>
        <v>164.44658214739317</v>
      </c>
      <c r="CK78">
        <f t="shared" si="128"/>
        <v>70.205536706784471</v>
      </c>
      <c r="CL78">
        <f t="shared" si="129"/>
        <v>56.942039373392539</v>
      </c>
      <c r="CM78">
        <f t="shared" si="130"/>
        <v>89.689817933218251</v>
      </c>
      <c r="CN78">
        <f t="shared" si="131"/>
        <v>38.997523536232428</v>
      </c>
      <c r="CO78">
        <f t="shared" si="132"/>
        <v>592.9407629787745</v>
      </c>
      <c r="CP78">
        <f t="shared" si="133"/>
        <v>405.38465867641543</v>
      </c>
      <c r="CQ78">
        <f t="shared" si="134"/>
        <v>151.42813361824815</v>
      </c>
      <c r="CR78">
        <f t="shared" si="135"/>
        <v>8.0753063160626102</v>
      </c>
      <c r="CS78">
        <f t="shared" si="136"/>
        <v>21.701462354486779</v>
      </c>
      <c r="CT78">
        <f t="shared" si="137"/>
        <v>-37.908799244763834</v>
      </c>
      <c r="CU78">
        <f t="shared" si="138"/>
        <v>0</v>
      </c>
      <c r="CV78">
        <f t="shared" si="139"/>
        <v>60.459286019417426</v>
      </c>
      <c r="CW78">
        <f t="shared" si="140"/>
        <v>-4.0705209194225503E-2</v>
      </c>
      <c r="CX78">
        <f t="shared" si="141"/>
        <v>-492.59783405815358</v>
      </c>
      <c r="CY78">
        <f t="shared" si="142"/>
        <v>5.3335590000000002</v>
      </c>
      <c r="CZ78">
        <f t="shared" si="143"/>
        <v>2.8856519999999999</v>
      </c>
      <c r="DA78">
        <v>9035.6312970207491</v>
      </c>
      <c r="DB78">
        <f t="shared" si="145"/>
        <v>2677018.3144610012</v>
      </c>
      <c r="DC78">
        <f t="shared" si="146"/>
        <v>1197762.7605595638</v>
      </c>
      <c r="DD78">
        <f t="shared" si="147"/>
        <v>1321391.9063511945</v>
      </c>
      <c r="DE78">
        <f t="shared" si="148"/>
        <v>1485878.6843390793</v>
      </c>
      <c r="DF78">
        <f t="shared" si="149"/>
        <v>634351.34469196084</v>
      </c>
      <c r="DG78">
        <f t="shared" si="150"/>
        <v>514507.27307841339</v>
      </c>
      <c r="DH78">
        <f t="shared" si="151"/>
        <v>810404.1259414797</v>
      </c>
      <c r="DI78">
        <f t="shared" si="152"/>
        <v>352367.244170285</v>
      </c>
    </row>
    <row r="79" spans="1:113" x14ac:dyDescent="0.3">
      <c r="A79" s="1">
        <v>45818</v>
      </c>
      <c r="B79">
        <v>24</v>
      </c>
      <c r="C79">
        <v>1</v>
      </c>
      <c r="D79">
        <v>0.72815533980582503</v>
      </c>
      <c r="E79">
        <v>0.23931566428755699</v>
      </c>
      <c r="F79">
        <v>-0.97094181742605201</v>
      </c>
      <c r="G79">
        <v>1.0060304890645</v>
      </c>
      <c r="H79">
        <v>0.980520756703958</v>
      </c>
      <c r="I79">
        <v>0.89376750435301699</v>
      </c>
      <c r="J79">
        <v>1.0580441100234201E-2</v>
      </c>
      <c r="K79">
        <v>40.753621644821898</v>
      </c>
      <c r="L79">
        <v>0.97944216225033598</v>
      </c>
      <c r="M79">
        <v>1.07184456882999</v>
      </c>
      <c r="N79">
        <v>2.7532541501068502</v>
      </c>
      <c r="O79">
        <v>3.2066846548570598</v>
      </c>
      <c r="P79">
        <v>1.9396675600942901</v>
      </c>
      <c r="Q79">
        <v>1.29894708587562</v>
      </c>
      <c r="R79">
        <v>1.7222541130926801</v>
      </c>
      <c r="S79">
        <v>1.36789445267484</v>
      </c>
      <c r="T79">
        <v>1.0405451979070499</v>
      </c>
      <c r="U79">
        <v>26</v>
      </c>
      <c r="V79">
        <v>203</v>
      </c>
      <c r="W79">
        <v>1923</v>
      </c>
      <c r="X79">
        <v>9054.2744015805802</v>
      </c>
      <c r="Y79">
        <f t="shared" si="92"/>
        <v>17411369.674239457</v>
      </c>
      <c r="Z79">
        <f t="shared" si="144"/>
        <v>11.901977806678209</v>
      </c>
      <c r="AA79">
        <f t="shared" si="80"/>
        <v>5.0919708097331515</v>
      </c>
      <c r="AB79">
        <f t="shared" si="81"/>
        <v>5.5888486109064797</v>
      </c>
      <c r="AC79">
        <f t="shared" si="82"/>
        <v>3.2520457620781666</v>
      </c>
      <c r="AD79">
        <f t="shared" si="83"/>
        <v>2.1306864463570268</v>
      </c>
      <c r="AE79">
        <f t="shared" si="84"/>
        <v>2.4378161165638588</v>
      </c>
      <c r="AF79">
        <f t="shared" si="85"/>
        <v>4.8350903092583888</v>
      </c>
      <c r="AG79">
        <f t="shared" si="86"/>
        <v>2.0059702025972435</v>
      </c>
      <c r="AH79">
        <f t="shared" si="90"/>
        <v>14.752361412031716</v>
      </c>
      <c r="AI79">
        <f t="shared" si="91"/>
        <v>6.9687240579263854</v>
      </c>
      <c r="AJ79">
        <f t="shared" si="91"/>
        <v>4.6296050148216619</v>
      </c>
      <c r="AK79">
        <f t="shared" si="91"/>
        <v>3.6948385064954095</v>
      </c>
      <c r="AL79">
        <f t="shared" si="91"/>
        <v>2.5944664113759068</v>
      </c>
      <c r="AM79">
        <f t="shared" si="91"/>
        <v>2.3895751703221002</v>
      </c>
      <c r="AN79">
        <f t="shared" si="91"/>
        <v>6.5870344778956778</v>
      </c>
      <c r="AO79">
        <f t="shared" si="91"/>
        <v>3.6424813908642166</v>
      </c>
      <c r="AP79">
        <f t="shared" si="93"/>
        <v>0.41495523385495869</v>
      </c>
      <c r="AQ79">
        <f t="shared" si="94"/>
        <v>0.39191395573931459</v>
      </c>
      <c r="AR79">
        <f t="shared" si="95"/>
        <v>0.56321180000215532</v>
      </c>
      <c r="AS79">
        <f t="shared" si="96"/>
        <v>0.46019299295832922</v>
      </c>
      <c r="AT79">
        <f t="shared" si="97"/>
        <v>0.43876620963148871</v>
      </c>
      <c r="AU79">
        <f t="shared" si="98"/>
        <v>0.50749456634133594</v>
      </c>
      <c r="AV79">
        <f t="shared" si="99"/>
        <v>0.38608352434900034</v>
      </c>
      <c r="AW79">
        <f t="shared" si="100"/>
        <v>0.30888752348252518</v>
      </c>
      <c r="BC79">
        <f t="shared" si="101"/>
        <v>75.556327872341612</v>
      </c>
      <c r="BD79">
        <f t="shared" si="102"/>
        <v>48.766279523112807</v>
      </c>
      <c r="BE79">
        <f t="shared" si="103"/>
        <v>61.458122748886993</v>
      </c>
      <c r="BF79">
        <f t="shared" si="104"/>
        <v>33.25907488997926</v>
      </c>
      <c r="BG79">
        <f t="shared" si="105"/>
        <v>10.26059914787889</v>
      </c>
      <c r="BH79">
        <f t="shared" si="106"/>
        <v>62.17511063908465</v>
      </c>
      <c r="BI79">
        <f t="shared" si="107"/>
        <v>35.658921788412776</v>
      </c>
      <c r="BJ79">
        <f t="shared" si="108"/>
        <v>31.018144714064302</v>
      </c>
      <c r="BK79">
        <f t="shared" si="109"/>
        <v>3.6218214300164862</v>
      </c>
      <c r="BL79">
        <f t="shared" si="110"/>
        <v>-1.7303710638310399</v>
      </c>
      <c r="BM79">
        <f t="shared" si="111"/>
        <v>17.398457197157676</v>
      </c>
      <c r="BN79">
        <f t="shared" si="112"/>
        <v>3.1958518595608214E-2</v>
      </c>
      <c r="BO79">
        <f t="shared" si="113"/>
        <v>1.1680243729533151</v>
      </c>
      <c r="BP79">
        <f t="shared" si="114"/>
        <v>24.458699185525361</v>
      </c>
      <c r="BQ79">
        <f t="shared" si="115"/>
        <v>-12.446793</v>
      </c>
      <c r="BR79">
        <f t="shared" si="116"/>
        <v>91.789344902912589</v>
      </c>
      <c r="BS79">
        <f t="shared" si="117"/>
        <v>3.9810990376177164</v>
      </c>
      <c r="BT79">
        <f t="shared" si="118"/>
        <v>-1.0060663385467867</v>
      </c>
      <c r="BU79">
        <f t="shared" si="119"/>
        <v>225.38278</v>
      </c>
      <c r="BV79">
        <f t="shared" si="120"/>
        <v>-112.591674</v>
      </c>
      <c r="BW79">
        <f t="shared" si="121"/>
        <v>358.1525813237613</v>
      </c>
      <c r="BX79">
        <f t="shared" si="122"/>
        <v>1640.3065263186309</v>
      </c>
      <c r="BY79">
        <f t="shared" si="123"/>
        <v>1923</v>
      </c>
      <c r="BZ79">
        <v>1998.45909756728</v>
      </c>
      <c r="CD79">
        <v>1929.0021207966099</v>
      </c>
      <c r="CG79">
        <f t="shared" si="124"/>
        <v>211.96289087275545</v>
      </c>
      <c r="CH79">
        <f t="shared" si="125"/>
        <v>142.73559960237773</v>
      </c>
      <c r="CI79">
        <f t="shared" si="126"/>
        <v>151.0966847713492</v>
      </c>
      <c r="CJ79">
        <f t="shared" si="127"/>
        <v>136.9526822888553</v>
      </c>
      <c r="CK79">
        <f t="shared" si="128"/>
        <v>65.18062863500333</v>
      </c>
      <c r="CL79">
        <f t="shared" si="129"/>
        <v>91.246785131072741</v>
      </c>
      <c r="CM79">
        <f t="shared" si="130"/>
        <v>87.733176849180893</v>
      </c>
      <c r="CN79">
        <f t="shared" si="131"/>
        <v>44.31915067163284</v>
      </c>
      <c r="CO79">
        <f t="shared" si="132"/>
        <v>594.16417020717984</v>
      </c>
      <c r="CP79">
        <f t="shared" si="133"/>
        <v>405.7394832409733</v>
      </c>
      <c r="CQ79">
        <f t="shared" si="134"/>
        <v>150.8754766821059</v>
      </c>
      <c r="CR79">
        <f t="shared" si="135"/>
        <v>4.642548899585309</v>
      </c>
      <c r="CS79">
        <f t="shared" si="136"/>
        <v>14.645877902840214</v>
      </c>
      <c r="CT79">
        <f t="shared" si="137"/>
        <v>-39.365346562791352</v>
      </c>
      <c r="CU79">
        <f t="shared" si="138"/>
        <v>73.717350999999994</v>
      </c>
      <c r="CV79">
        <f t="shared" si="139"/>
        <v>61.276303398058232</v>
      </c>
      <c r="CW79">
        <f t="shared" si="140"/>
        <v>-1.6483209810464665</v>
      </c>
      <c r="CX79">
        <f t="shared" si="141"/>
        <v>-491.69769629113188</v>
      </c>
      <c r="CY79">
        <f t="shared" si="142"/>
        <v>8.9480369999999994</v>
      </c>
      <c r="CZ79">
        <f t="shared" si="143"/>
        <v>10.718135999999999</v>
      </c>
      <c r="DA79">
        <v>9054.2744015805802</v>
      </c>
      <c r="DB79">
        <f t="shared" si="145"/>
        <v>1919170.1769142076</v>
      </c>
      <c r="DC79">
        <f t="shared" si="146"/>
        <v>1292367.285674064</v>
      </c>
      <c r="DD79">
        <f t="shared" si="147"/>
        <v>1368070.8450889173</v>
      </c>
      <c r="DE79">
        <f t="shared" si="148"/>
        <v>1240007.1654757806</v>
      </c>
      <c r="DF79">
        <f t="shared" si="149"/>
        <v>590163.29732884082</v>
      </c>
      <c r="DG79">
        <f t="shared" si="150"/>
        <v>826173.43083879538</v>
      </c>
      <c r="DH79">
        <f t="shared" si="151"/>
        <v>794360.25731488049</v>
      </c>
      <c r="DI79">
        <f t="shared" si="152"/>
        <v>401277.75142595801</v>
      </c>
    </row>
    <row r="80" spans="1:113" x14ac:dyDescent="0.3">
      <c r="A80" s="1">
        <v>45825</v>
      </c>
      <c r="B80">
        <v>25</v>
      </c>
      <c r="C80">
        <v>1</v>
      </c>
      <c r="D80">
        <v>0.73786407766990203</v>
      </c>
      <c r="E80">
        <v>0.12053668025532301</v>
      </c>
      <c r="F80">
        <v>-0.99270887409805397</v>
      </c>
      <c r="G80">
        <v>1.0047487311254899</v>
      </c>
      <c r="H80">
        <v>0.98443876192907798</v>
      </c>
      <c r="I80">
        <v>0.87957530480634005</v>
      </c>
      <c r="J80">
        <v>1.3525667180030799E-2</v>
      </c>
      <c r="K80">
        <v>101.526896072414</v>
      </c>
      <c r="L80">
        <v>0.98142959576940803</v>
      </c>
      <c r="M80">
        <v>3.2060430010907002</v>
      </c>
      <c r="N80">
        <v>1.6099745447643199</v>
      </c>
      <c r="O80">
        <v>1.0351022164802901</v>
      </c>
      <c r="P80">
        <v>4.9163662477492203</v>
      </c>
      <c r="Q80">
        <v>2.8886672698009899</v>
      </c>
      <c r="R80">
        <v>3.8763435554328498</v>
      </c>
      <c r="S80">
        <v>0.625753467299207</v>
      </c>
      <c r="T80">
        <v>1.2123042644592901</v>
      </c>
      <c r="U80">
        <v>19</v>
      </c>
      <c r="V80">
        <v>156</v>
      </c>
      <c r="W80">
        <v>1950</v>
      </c>
      <c r="X80">
        <v>9042.7385801294895</v>
      </c>
      <c r="Y80">
        <f t="shared" si="92"/>
        <v>17633340.231252503</v>
      </c>
      <c r="Z80">
        <f t="shared" si="144"/>
        <v>10.347229685097625</v>
      </c>
      <c r="AA80">
        <f t="shared" si="80"/>
        <v>4.1559599496308959</v>
      </c>
      <c r="AB80">
        <f t="shared" si="81"/>
        <v>3.5500840913882064</v>
      </c>
      <c r="AC80">
        <f t="shared" si="82"/>
        <v>5.8919799763726699</v>
      </c>
      <c r="AD80">
        <f t="shared" si="83"/>
        <v>3.6344075260259494</v>
      </c>
      <c r="AE80">
        <f t="shared" si="84"/>
        <v>5.0952516137147796</v>
      </c>
      <c r="AF80">
        <f t="shared" si="85"/>
        <v>4.0103166837800792</v>
      </c>
      <c r="AG80">
        <f t="shared" si="86"/>
        <v>2.3155878758877741</v>
      </c>
      <c r="AH80">
        <f t="shared" si="90"/>
        <v>14.752361412031716</v>
      </c>
      <c r="AI80">
        <f t="shared" si="91"/>
        <v>6.9687240579263854</v>
      </c>
      <c r="AJ80">
        <f t="shared" si="91"/>
        <v>4.6296050148216619</v>
      </c>
      <c r="AK80">
        <f t="shared" si="91"/>
        <v>3.6948385064954095</v>
      </c>
      <c r="AL80">
        <f t="shared" si="91"/>
        <v>2.5944664113759068</v>
      </c>
      <c r="AM80">
        <f t="shared" si="91"/>
        <v>2.3895751703221002</v>
      </c>
      <c r="AN80">
        <f t="shared" si="91"/>
        <v>6.5870344778956778</v>
      </c>
      <c r="AO80">
        <f t="shared" si="91"/>
        <v>3.6424813908642166</v>
      </c>
      <c r="AP80">
        <f t="shared" si="93"/>
        <v>0.36181505226302502</v>
      </c>
      <c r="AQ80">
        <f t="shared" si="94"/>
        <v>0.32659101203221874</v>
      </c>
      <c r="AR80">
        <f t="shared" si="95"/>
        <v>0.4113407962687004</v>
      </c>
      <c r="AS80">
        <f t="shared" si="96"/>
        <v>0.64183076522346005</v>
      </c>
      <c r="AT80">
        <f t="shared" si="97"/>
        <v>0.6038018319206927</v>
      </c>
      <c r="AU80">
        <f t="shared" si="98"/>
        <v>0.75690587259744646</v>
      </c>
      <c r="AV80">
        <f t="shared" si="99"/>
        <v>0.32205375047633616</v>
      </c>
      <c r="AW80">
        <f t="shared" si="100"/>
        <v>0.35170522512020091</v>
      </c>
      <c r="BC80">
        <f t="shared" si="101"/>
        <v>65.880399830042663</v>
      </c>
      <c r="BD80">
        <f t="shared" si="102"/>
        <v>40.638074631599061</v>
      </c>
      <c r="BE80">
        <f t="shared" si="103"/>
        <v>44.885837172818398</v>
      </c>
      <c r="BF80">
        <f t="shared" si="104"/>
        <v>46.38640269169138</v>
      </c>
      <c r="BG80">
        <f t="shared" si="105"/>
        <v>14.119976484279734</v>
      </c>
      <c r="BH80">
        <f t="shared" si="106"/>
        <v>92.731448754993309</v>
      </c>
      <c r="BI80">
        <f t="shared" si="107"/>
        <v>29.745090830448465</v>
      </c>
      <c r="BJ80">
        <f t="shared" si="108"/>
        <v>35.317851127412496</v>
      </c>
      <c r="BK80">
        <f t="shared" si="109"/>
        <v>3.6172069591609186</v>
      </c>
      <c r="BL80">
        <f t="shared" si="110"/>
        <v>-1.7372853517980547</v>
      </c>
      <c r="BM80">
        <f t="shared" si="111"/>
        <v>17.122185823289453</v>
      </c>
      <c r="BN80">
        <f t="shared" si="112"/>
        <v>4.0854656435964073E-2</v>
      </c>
      <c r="BO80">
        <f t="shared" si="113"/>
        <v>0.58830156727195115</v>
      </c>
      <c r="BP80">
        <f t="shared" si="114"/>
        <v>25.007026471197481</v>
      </c>
      <c r="BQ80">
        <f t="shared" si="115"/>
        <v>-12.446793</v>
      </c>
      <c r="BR80">
        <f t="shared" si="116"/>
        <v>93.013202834951343</v>
      </c>
      <c r="BS80">
        <f t="shared" si="117"/>
        <v>9.9178578966259057</v>
      </c>
      <c r="BT80">
        <f t="shared" si="118"/>
        <v>-1.0081077964712077</v>
      </c>
      <c r="BU80">
        <f t="shared" si="119"/>
        <v>173.20056</v>
      </c>
      <c r="BV80">
        <f t="shared" si="120"/>
        <v>-82.278531000000001</v>
      </c>
      <c r="BW80">
        <f t="shared" si="121"/>
        <v>369.70508152328551</v>
      </c>
      <c r="BX80">
        <f t="shared" si="122"/>
        <v>1625.2857251368939</v>
      </c>
      <c r="BY80">
        <f t="shared" si="123"/>
        <v>1950</v>
      </c>
      <c r="BZ80">
        <v>1994.9907847817899</v>
      </c>
      <c r="CD80">
        <v>1936.3455720428201</v>
      </c>
      <c r="CG80">
        <f t="shared" si="124"/>
        <v>184.81840493125142</v>
      </c>
      <c r="CH80">
        <f t="shared" si="125"/>
        <v>118.94489401182055</v>
      </c>
      <c r="CI80">
        <f t="shared" si="126"/>
        <v>110.35321104275471</v>
      </c>
      <c r="CJ80">
        <f t="shared" si="127"/>
        <v>191.00778633720057</v>
      </c>
      <c r="CK80">
        <f t="shared" si="128"/>
        <v>89.697388065985919</v>
      </c>
      <c r="CL80">
        <f t="shared" si="129"/>
        <v>136.09057535188211</v>
      </c>
      <c r="CM80">
        <f t="shared" si="130"/>
        <v>73.183124540537079</v>
      </c>
      <c r="CN80">
        <f t="shared" si="131"/>
        <v>50.462630178018685</v>
      </c>
      <c r="CO80">
        <f t="shared" si="132"/>
        <v>593.40716070248118</v>
      </c>
      <c r="CP80">
        <f t="shared" si="133"/>
        <v>407.36075377961993</v>
      </c>
      <c r="CQ80">
        <f t="shared" si="134"/>
        <v>148.47971395707543</v>
      </c>
      <c r="CR80">
        <f t="shared" si="135"/>
        <v>5.9348727229736351</v>
      </c>
      <c r="CS80">
        <f t="shared" si="136"/>
        <v>7.3767235717254307</v>
      </c>
      <c r="CT80">
        <f t="shared" si="137"/>
        <v>-40.247858484892731</v>
      </c>
      <c r="CU80">
        <f t="shared" si="138"/>
        <v>73.717350999999994</v>
      </c>
      <c r="CV80">
        <f t="shared" si="139"/>
        <v>62.093320776698953</v>
      </c>
      <c r="CW80">
        <f t="shared" si="140"/>
        <v>-4.1063568385448574</v>
      </c>
      <c r="CX80">
        <f t="shared" si="141"/>
        <v>-492.69542389621506</v>
      </c>
      <c r="CY80">
        <f t="shared" si="142"/>
        <v>6.8763240000000003</v>
      </c>
      <c r="CZ80">
        <f t="shared" si="143"/>
        <v>7.832484</v>
      </c>
      <c r="DA80">
        <v>9042.7385801294895</v>
      </c>
      <c r="DB80">
        <f t="shared" si="145"/>
        <v>1671264.5205898215</v>
      </c>
      <c r="DC80">
        <f t="shared" si="146"/>
        <v>1075587.5819901028</v>
      </c>
      <c r="DD80">
        <f t="shared" si="147"/>
        <v>997895.23893748957</v>
      </c>
      <c r="DE80">
        <f t="shared" si="148"/>
        <v>1727233.478616534</v>
      </c>
      <c r="DF80">
        <f t="shared" si="149"/>
        <v>811110.03160113737</v>
      </c>
      <c r="DG80">
        <f t="shared" si="150"/>
        <v>1230631.4961264837</v>
      </c>
      <c r="DH80">
        <f t="shared" si="151"/>
        <v>661775.86369713582</v>
      </c>
      <c r="DI80">
        <f t="shared" si="152"/>
        <v>456320.37276557623</v>
      </c>
    </row>
    <row r="81" spans="1:113" x14ac:dyDescent="0.3">
      <c r="A81" s="1">
        <v>45832</v>
      </c>
      <c r="B81">
        <v>26</v>
      </c>
      <c r="C81">
        <v>1</v>
      </c>
      <c r="D81">
        <v>0.74757281553398003</v>
      </c>
      <c r="E81" s="2">
        <v>-3.2162452993532702E-16</v>
      </c>
      <c r="F81">
        <v>-1</v>
      </c>
      <c r="G81">
        <v>1.0052243501987199</v>
      </c>
      <c r="H81">
        <v>0.98509690943316996</v>
      </c>
      <c r="I81">
        <v>0.88742067425559701</v>
      </c>
      <c r="J81">
        <v>0.16282138225031301</v>
      </c>
      <c r="K81">
        <v>68.475844753965305</v>
      </c>
      <c r="L81">
        <v>0.98136294151785197</v>
      </c>
      <c r="M81">
        <v>2.7727688637769301</v>
      </c>
      <c r="N81">
        <v>1.4658121374101301</v>
      </c>
      <c r="O81">
        <v>0.82121883765458303</v>
      </c>
      <c r="P81">
        <v>0.848469483145738</v>
      </c>
      <c r="Q81">
        <v>0.15195573743302701</v>
      </c>
      <c r="R81">
        <v>0.62548008801247801</v>
      </c>
      <c r="S81">
        <v>1.2563779651312601</v>
      </c>
      <c r="T81">
        <v>1.6668266061338399</v>
      </c>
      <c r="U81">
        <v>23</v>
      </c>
      <c r="V81">
        <v>176</v>
      </c>
      <c r="W81">
        <v>1809</v>
      </c>
      <c r="X81">
        <v>9047.0191517885596</v>
      </c>
      <c r="Y81">
        <f t="shared" si="92"/>
        <v>16366057.645585503</v>
      </c>
      <c r="Z81">
        <f t="shared" si="144"/>
        <v>8.9811066748355053</v>
      </c>
      <c r="AA81">
        <f t="shared" si="80"/>
        <v>3.543792112225578</v>
      </c>
      <c r="AB81">
        <f t="shared" si="81"/>
        <v>2.418756678779276</v>
      </c>
      <c r="AC81">
        <f t="shared" si="82"/>
        <v>2.6160634760575388</v>
      </c>
      <c r="AD81">
        <f t="shared" si="83"/>
        <v>1.4239983715421092</v>
      </c>
      <c r="AE81">
        <f t="shared" si="84"/>
        <v>3.1731058948698676</v>
      </c>
      <c r="AF81">
        <f t="shared" si="85"/>
        <v>4.063599643777315</v>
      </c>
      <c r="AG81">
        <f t="shared" si="86"/>
        <v>2.9403999378721157</v>
      </c>
      <c r="AH81">
        <f t="shared" si="90"/>
        <v>14.752361412031716</v>
      </c>
      <c r="AI81">
        <f t="shared" si="91"/>
        <v>6.9687240579263854</v>
      </c>
      <c r="AJ81">
        <f t="shared" si="91"/>
        <v>4.6296050148216619</v>
      </c>
      <c r="AK81">
        <f t="shared" si="91"/>
        <v>3.6948385064954095</v>
      </c>
      <c r="AL81">
        <f t="shared" si="91"/>
        <v>2.5944664113759068</v>
      </c>
      <c r="AM81">
        <f t="shared" si="91"/>
        <v>2.3895751703221002</v>
      </c>
      <c r="AN81">
        <f t="shared" si="91"/>
        <v>6.5870344778956778</v>
      </c>
      <c r="AO81">
        <f t="shared" si="91"/>
        <v>3.6424813908642166</v>
      </c>
      <c r="AP81">
        <f t="shared" si="93"/>
        <v>0.31130012861474832</v>
      </c>
      <c r="AQ81">
        <f t="shared" si="94"/>
        <v>0.27954318574061365</v>
      </c>
      <c r="AR81">
        <f t="shared" si="95"/>
        <v>0.29391517247969473</v>
      </c>
      <c r="AS81">
        <f t="shared" si="96"/>
        <v>0.3937484639105629</v>
      </c>
      <c r="AT81">
        <f t="shared" si="97"/>
        <v>0.32084521411412381</v>
      </c>
      <c r="AU81">
        <f t="shared" si="98"/>
        <v>0.60477300844443549</v>
      </c>
      <c r="AV81">
        <f t="shared" si="99"/>
        <v>0.32639159312654153</v>
      </c>
      <c r="AW81">
        <f t="shared" si="100"/>
        <v>0.42823367095783599</v>
      </c>
      <c r="BC81">
        <f t="shared" si="101"/>
        <v>56.682486845169763</v>
      </c>
      <c r="BD81">
        <f t="shared" si="102"/>
        <v>34.783862465147457</v>
      </c>
      <c r="BE81">
        <f t="shared" si="103"/>
        <v>32.072259047037448</v>
      </c>
      <c r="BF81">
        <f t="shared" si="104"/>
        <v>28.45699488997116</v>
      </c>
      <c r="BG81">
        <f t="shared" si="105"/>
        <v>7.503002870948837</v>
      </c>
      <c r="BH81">
        <f t="shared" si="106"/>
        <v>74.093066616745261</v>
      </c>
      <c r="BI81">
        <f t="shared" si="107"/>
        <v>30.145736758178572</v>
      </c>
      <c r="BJ81">
        <f t="shared" si="108"/>
        <v>43.002753324080494</v>
      </c>
      <c r="BK81">
        <f t="shared" si="109"/>
        <v>3.618919240618264</v>
      </c>
      <c r="BL81">
        <f t="shared" si="110"/>
        <v>-1.7384468156314585</v>
      </c>
      <c r="BM81">
        <f t="shared" si="111"/>
        <v>17.274907111425335</v>
      </c>
      <c r="BN81">
        <f t="shared" si="112"/>
        <v>0.49180654408577346</v>
      </c>
      <c r="BO81">
        <f t="shared" si="113"/>
        <v>-1.5697480188874015E-15</v>
      </c>
      <c r="BP81">
        <f t="shared" si="114"/>
        <v>25.190695000000002</v>
      </c>
      <c r="BQ81">
        <f t="shared" si="115"/>
        <v>-12.446793</v>
      </c>
      <c r="BR81">
        <f t="shared" si="116"/>
        <v>94.237060766990226</v>
      </c>
      <c r="BS81">
        <f t="shared" si="117"/>
        <v>6.6891998464806086</v>
      </c>
      <c r="BT81">
        <f t="shared" si="118"/>
        <v>-1.0080393303571318</v>
      </c>
      <c r="BU81">
        <f t="shared" si="119"/>
        <v>195.40576000000001</v>
      </c>
      <c r="BV81">
        <f t="shared" si="120"/>
        <v>-99.600326999999993</v>
      </c>
      <c r="BW81">
        <f t="shared" si="121"/>
        <v>306.74016281727899</v>
      </c>
      <c r="BX81">
        <f t="shared" si="122"/>
        <v>1628.3639884398417</v>
      </c>
      <c r="BY81">
        <f t="shared" si="123"/>
        <v>1809</v>
      </c>
      <c r="BZ81">
        <v>1935.1041357689201</v>
      </c>
      <c r="CD81">
        <v>1795.0859894627799</v>
      </c>
      <c r="CG81">
        <f t="shared" si="124"/>
        <v>159.01492451907805</v>
      </c>
      <c r="CH81">
        <f t="shared" si="125"/>
        <v>101.81001122089596</v>
      </c>
      <c r="CI81">
        <f t="shared" si="126"/>
        <v>78.850635170483329</v>
      </c>
      <c r="CJ81">
        <f t="shared" si="127"/>
        <v>117.17889908104503</v>
      </c>
      <c r="CK81">
        <f t="shared" si="128"/>
        <v>47.662951912489277</v>
      </c>
      <c r="CL81">
        <f t="shared" si="129"/>
        <v>108.73730757835521</v>
      </c>
      <c r="CM81">
        <f t="shared" si="130"/>
        <v>74.168850924526396</v>
      </c>
      <c r="CN81">
        <f t="shared" si="131"/>
        <v>61.442923857429534</v>
      </c>
      <c r="CO81">
        <f t="shared" si="132"/>
        <v>593.68806253900823</v>
      </c>
      <c r="CP81">
        <f t="shared" si="133"/>
        <v>407.6330952128643</v>
      </c>
      <c r="CQ81">
        <f t="shared" si="134"/>
        <v>149.80407834673932</v>
      </c>
      <c r="CR81">
        <f t="shared" si="135"/>
        <v>71.443734891016732</v>
      </c>
      <c r="CS81">
        <f t="shared" si="136"/>
        <v>-1.96830976777649E-14</v>
      </c>
      <c r="CT81">
        <f t="shared" si="137"/>
        <v>-40.543466000000002</v>
      </c>
      <c r="CU81">
        <f t="shared" si="138"/>
        <v>73.717350999999994</v>
      </c>
      <c r="CV81">
        <f t="shared" si="139"/>
        <v>62.910338155339758</v>
      </c>
      <c r="CW81">
        <f t="shared" si="140"/>
        <v>-2.7695740169188809</v>
      </c>
      <c r="CX81">
        <f t="shared" si="141"/>
        <v>-492.661962255292</v>
      </c>
      <c r="CY81">
        <f t="shared" si="142"/>
        <v>7.7579039999999999</v>
      </c>
      <c r="CZ81">
        <f t="shared" si="143"/>
        <v>9.4814279999999993</v>
      </c>
      <c r="DA81">
        <v>9047.0191517885596</v>
      </c>
      <c r="DB81">
        <f t="shared" si="145"/>
        <v>1438611.0675443113</v>
      </c>
      <c r="DC81">
        <f t="shared" si="146"/>
        <v>921077.12135925388</v>
      </c>
      <c r="DD81">
        <f t="shared" si="147"/>
        <v>713363.20651805529</v>
      </c>
      <c r="DE81">
        <f t="shared" si="148"/>
        <v>1060119.7441717132</v>
      </c>
      <c r="DF81">
        <f t="shared" si="149"/>
        <v>431207.63878306764</v>
      </c>
      <c r="DG81">
        <f t="shared" si="150"/>
        <v>983748.50417530292</v>
      </c>
      <c r="DH81">
        <f t="shared" si="151"/>
        <v>671007.01478034095</v>
      </c>
      <c r="DI81">
        <f t="shared" si="152"/>
        <v>555875.30888005125</v>
      </c>
    </row>
    <row r="82" spans="1:113" x14ac:dyDescent="0.3">
      <c r="A82" s="1">
        <v>45839</v>
      </c>
      <c r="B82">
        <v>27</v>
      </c>
      <c r="C82">
        <v>1</v>
      </c>
      <c r="D82">
        <v>0.75728155339805803</v>
      </c>
      <c r="E82">
        <v>-0.12053668025532201</v>
      </c>
      <c r="F82">
        <v>-0.99270887409805397</v>
      </c>
      <c r="G82">
        <v>1.00710112138063</v>
      </c>
      <c r="H82">
        <v>0.983864127740669</v>
      </c>
      <c r="I82">
        <v>0.89622940505327398</v>
      </c>
      <c r="J82">
        <v>0.122642889657233</v>
      </c>
      <c r="K82">
        <v>101.874101194951</v>
      </c>
      <c r="L82">
        <v>0.98329878716133301</v>
      </c>
      <c r="M82">
        <v>6.8348888067186202</v>
      </c>
      <c r="N82">
        <v>0.65265724427984195</v>
      </c>
      <c r="O82">
        <v>2.87479969993508</v>
      </c>
      <c r="P82">
        <v>1.52558031864814</v>
      </c>
      <c r="Q82">
        <v>0.46046982626063798</v>
      </c>
      <c r="R82">
        <v>0.91230155820844006</v>
      </c>
      <c r="S82">
        <v>4.9324412580603196</v>
      </c>
      <c r="T82">
        <v>1.2944455964396799</v>
      </c>
      <c r="U82">
        <v>20</v>
      </c>
      <c r="V82">
        <v>195</v>
      </c>
      <c r="W82">
        <v>1838</v>
      </c>
      <c r="X82">
        <v>9063.91009242568</v>
      </c>
      <c r="Y82">
        <f t="shared" si="92"/>
        <v>16659466.749878399</v>
      </c>
      <c r="Z82">
        <f t="shared" si="144"/>
        <v>12.223552811619923</v>
      </c>
      <c r="AA82">
        <f t="shared" si="80"/>
        <v>2.4245533003926312</v>
      </c>
      <c r="AB82">
        <f t="shared" si="81"/>
        <v>3.9632402053857545</v>
      </c>
      <c r="AC82">
        <f t="shared" si="82"/>
        <v>2.3103993614654015</v>
      </c>
      <c r="AD82">
        <f t="shared" si="83"/>
        <v>0.95886925630037623</v>
      </c>
      <c r="AE82">
        <f t="shared" si="84"/>
        <v>2.498854505643374</v>
      </c>
      <c r="AF82">
        <f t="shared" si="85"/>
        <v>7.7769610087044398</v>
      </c>
      <c r="AG82">
        <f t="shared" si="86"/>
        <v>2.9116655622693437</v>
      </c>
      <c r="AH82">
        <f t="shared" si="90"/>
        <v>14.752361412031716</v>
      </c>
      <c r="AI82">
        <f t="shared" si="91"/>
        <v>6.9687240579263854</v>
      </c>
      <c r="AJ82">
        <f t="shared" si="91"/>
        <v>4.6296050148216619</v>
      </c>
      <c r="AK82">
        <f t="shared" si="91"/>
        <v>3.6948385064954095</v>
      </c>
      <c r="AL82">
        <f t="shared" si="91"/>
        <v>2.5944664113759068</v>
      </c>
      <c r="AM82">
        <f t="shared" si="91"/>
        <v>2.3895751703221002</v>
      </c>
      <c r="AN82">
        <f t="shared" si="91"/>
        <v>6.5870344778956778</v>
      </c>
      <c r="AO82">
        <f t="shared" si="91"/>
        <v>3.6424813908642166</v>
      </c>
      <c r="AP82">
        <f t="shared" si="93"/>
        <v>0.42534686487133905</v>
      </c>
      <c r="AQ82">
        <f t="shared" si="94"/>
        <v>0.18571475872925894</v>
      </c>
      <c r="AR82">
        <f t="shared" si="95"/>
        <v>0.44774080175321029</v>
      </c>
      <c r="AS82">
        <f t="shared" si="96"/>
        <v>0.35734747182361237</v>
      </c>
      <c r="AT82">
        <f t="shared" si="97"/>
        <v>0.22370111131040626</v>
      </c>
      <c r="AU82">
        <f t="shared" si="98"/>
        <v>0.51676252779098952</v>
      </c>
      <c r="AV82">
        <f t="shared" si="99"/>
        <v>0.56195339319015214</v>
      </c>
      <c r="AW82">
        <f t="shared" si="100"/>
        <v>0.42499072384682218</v>
      </c>
      <c r="BC82">
        <f t="shared" si="101"/>
        <v>77.448468074810947</v>
      </c>
      <c r="BD82">
        <f t="shared" si="102"/>
        <v>23.10868930062443</v>
      </c>
      <c r="BE82">
        <f t="shared" si="103"/>
        <v>48.857834927692508</v>
      </c>
      <c r="BF82">
        <f t="shared" si="104"/>
        <v>25.826221843848188</v>
      </c>
      <c r="BG82">
        <f t="shared" si="105"/>
        <v>5.2312766610238741</v>
      </c>
      <c r="BH82">
        <f t="shared" si="106"/>
        <v>63.310564231593482</v>
      </c>
      <c r="BI82">
        <f t="shared" si="107"/>
        <v>51.902375607167485</v>
      </c>
      <c r="BJ82">
        <f t="shared" si="108"/>
        <v>42.677100148920204</v>
      </c>
      <c r="BK82">
        <f t="shared" si="109"/>
        <v>3.6256758251947412</v>
      </c>
      <c r="BL82">
        <f t="shared" si="110"/>
        <v>-1.7362712678379624</v>
      </c>
      <c r="BM82">
        <f t="shared" si="111"/>
        <v>17.446381600034773</v>
      </c>
      <c r="BN82">
        <f t="shared" si="112"/>
        <v>0.37044628221058268</v>
      </c>
      <c r="BO82">
        <f t="shared" si="113"/>
        <v>-0.58830156727194627</v>
      </c>
      <c r="BP82">
        <f t="shared" si="114"/>
        <v>25.007026471197481</v>
      </c>
      <c r="BQ82">
        <f t="shared" si="115"/>
        <v>-12.446793</v>
      </c>
      <c r="BR82">
        <f t="shared" si="116"/>
        <v>95.460918699029094</v>
      </c>
      <c r="BS82">
        <f t="shared" si="117"/>
        <v>9.9517753234311783</v>
      </c>
      <c r="BT82">
        <f t="shared" si="118"/>
        <v>-1.0100277980927395</v>
      </c>
      <c r="BU82">
        <f t="shared" si="119"/>
        <v>216.50069999999999</v>
      </c>
      <c r="BV82">
        <f t="shared" si="120"/>
        <v>-86.608980000000003</v>
      </c>
      <c r="BW82">
        <f t="shared" si="121"/>
        <v>338.3625307956811</v>
      </c>
      <c r="BX82">
        <f t="shared" si="122"/>
        <v>1666.2217966441253</v>
      </c>
      <c r="BY82">
        <f t="shared" si="123"/>
        <v>1838</v>
      </c>
      <c r="BZ82">
        <v>2004.5843059137701</v>
      </c>
      <c r="CD82">
        <v>1847.8823738692099</v>
      </c>
      <c r="CG82">
        <f t="shared" si="124"/>
        <v>217.27103009214139</v>
      </c>
      <c r="CH82">
        <f t="shared" si="125"/>
        <v>67.637569558415564</v>
      </c>
      <c r="CI82">
        <f t="shared" si="126"/>
        <v>120.11848967212171</v>
      </c>
      <c r="CJ82">
        <f t="shared" si="127"/>
        <v>106.34602335159062</v>
      </c>
      <c r="CK82">
        <f t="shared" si="128"/>
        <v>33.231772961293942</v>
      </c>
      <c r="CL82">
        <f t="shared" si="129"/>
        <v>92.913151124104502</v>
      </c>
      <c r="CM82">
        <f t="shared" si="130"/>
        <v>127.69764394603479</v>
      </c>
      <c r="CN82">
        <f t="shared" si="131"/>
        <v>60.977626133478935</v>
      </c>
      <c r="CO82">
        <f t="shared" si="132"/>
        <v>594.79648838105732</v>
      </c>
      <c r="CP82">
        <f t="shared" si="133"/>
        <v>407.12297015590411</v>
      </c>
      <c r="CQ82">
        <f t="shared" si="134"/>
        <v>151.29106623966558</v>
      </c>
      <c r="CR82">
        <f t="shared" si="135"/>
        <v>53.813976848994159</v>
      </c>
      <c r="CS82">
        <f t="shared" si="136"/>
        <v>-7.3767235717253694</v>
      </c>
      <c r="CT82">
        <f t="shared" si="137"/>
        <v>-40.247858484892731</v>
      </c>
      <c r="CU82">
        <f t="shared" si="138"/>
        <v>73.717350999999994</v>
      </c>
      <c r="CV82">
        <f t="shared" si="139"/>
        <v>63.727355533980564</v>
      </c>
      <c r="CW82">
        <f t="shared" si="140"/>
        <v>-4.1203998969309881</v>
      </c>
      <c r="CX82">
        <f t="shared" si="141"/>
        <v>-493.63379181293317</v>
      </c>
      <c r="CY82">
        <f t="shared" si="142"/>
        <v>8.5954049999999995</v>
      </c>
      <c r="CZ82">
        <f t="shared" si="143"/>
        <v>8.2447199999999992</v>
      </c>
      <c r="DA82">
        <v>9063.91009242568</v>
      </c>
      <c r="DB82">
        <f t="shared" si="145"/>
        <v>1969325.0824438839</v>
      </c>
      <c r="DC82">
        <f t="shared" si="146"/>
        <v>613060.84934766672</v>
      </c>
      <c r="DD82">
        <f t="shared" si="147"/>
        <v>1088743.1908260738</v>
      </c>
      <c r="DE82">
        <f t="shared" si="148"/>
        <v>963910.79434581927</v>
      </c>
      <c r="DF82">
        <f t="shared" si="149"/>
        <v>301209.80233307095</v>
      </c>
      <c r="DG82">
        <f t="shared" si="150"/>
        <v>842156.44819284324</v>
      </c>
      <c r="DH82">
        <f t="shared" si="151"/>
        <v>1157439.9637414457</v>
      </c>
      <c r="DI82">
        <f t="shared" si="152"/>
        <v>552695.72092339967</v>
      </c>
    </row>
    <row r="83" spans="1:113" x14ac:dyDescent="0.3">
      <c r="A83" s="1">
        <v>45846</v>
      </c>
      <c r="B83">
        <v>28</v>
      </c>
      <c r="C83">
        <v>1</v>
      </c>
      <c r="D83">
        <v>0.76699029126213503</v>
      </c>
      <c r="E83">
        <v>-0.23931566428755699</v>
      </c>
      <c r="F83">
        <v>-0.97094181742605201</v>
      </c>
      <c r="G83">
        <v>1.00617308176147</v>
      </c>
      <c r="H83">
        <v>0.98718299387084796</v>
      </c>
      <c r="I83">
        <v>0.89557321167288195</v>
      </c>
      <c r="J83">
        <v>0.15229838540131399</v>
      </c>
      <c r="K83">
        <v>61.161675876407102</v>
      </c>
      <c r="L83">
        <v>0.98391526102668503</v>
      </c>
      <c r="M83">
        <v>6.6440104254118504</v>
      </c>
      <c r="N83">
        <v>8.3786184114823108</v>
      </c>
      <c r="O83">
        <v>0.71598454428448699</v>
      </c>
      <c r="P83">
        <v>2.10149672289486</v>
      </c>
      <c r="Q83">
        <v>0.86639557332260397</v>
      </c>
      <c r="R83">
        <v>0.51843813694658403</v>
      </c>
      <c r="S83">
        <v>0.39893779521668599</v>
      </c>
      <c r="T83">
        <v>3.3384338557725202</v>
      </c>
      <c r="U83">
        <v>23</v>
      </c>
      <c r="V83">
        <v>152</v>
      </c>
      <c r="W83">
        <v>2036</v>
      </c>
      <c r="X83">
        <v>9055.55773585323</v>
      </c>
      <c r="Y83">
        <f t="shared" si="92"/>
        <v>18437115.550197177</v>
      </c>
      <c r="Z83">
        <f t="shared" si="144"/>
        <v>13.978142112383804</v>
      </c>
      <c r="AA83">
        <f t="shared" si="80"/>
        <v>9.5908950616786264</v>
      </c>
      <c r="AB83">
        <f t="shared" si="81"/>
        <v>2.4994426367080766</v>
      </c>
      <c r="AC83">
        <f t="shared" si="82"/>
        <v>2.7946165313344804</v>
      </c>
      <c r="AD83">
        <f t="shared" si="83"/>
        <v>1.2019998130277356</v>
      </c>
      <c r="AE83">
        <f t="shared" si="84"/>
        <v>1.767865389768271</v>
      </c>
      <c r="AF83">
        <f t="shared" si="85"/>
        <v>5.8428105013097937</v>
      </c>
      <c r="AG83">
        <f t="shared" si="86"/>
        <v>4.939849915020659</v>
      </c>
      <c r="AH83">
        <f t="shared" si="90"/>
        <v>14.752361412031716</v>
      </c>
      <c r="AI83">
        <f t="shared" si="91"/>
        <v>6.9687240579263854</v>
      </c>
      <c r="AJ83">
        <f t="shared" si="91"/>
        <v>4.6296050148216619</v>
      </c>
      <c r="AK83">
        <f t="shared" si="91"/>
        <v>3.6948385064954095</v>
      </c>
      <c r="AL83">
        <f t="shared" si="91"/>
        <v>2.5944664113759068</v>
      </c>
      <c r="AM83">
        <f t="shared" si="91"/>
        <v>2.3895751703221002</v>
      </c>
      <c r="AN83">
        <f t="shared" si="91"/>
        <v>6.5870344778956778</v>
      </c>
      <c r="AO83">
        <f t="shared" si="91"/>
        <v>3.6424813908642166</v>
      </c>
      <c r="AP83">
        <f t="shared" si="93"/>
        <v>0.47845002514197399</v>
      </c>
      <c r="AQ83">
        <f t="shared" si="94"/>
        <v>0.60995781518162751</v>
      </c>
      <c r="AR83">
        <f t="shared" si="95"/>
        <v>0.30319168691871057</v>
      </c>
      <c r="AS83">
        <f t="shared" si="96"/>
        <v>0.41361222185344987</v>
      </c>
      <c r="AT83">
        <f t="shared" si="97"/>
        <v>0.27652940473314858</v>
      </c>
      <c r="AU83">
        <f t="shared" si="98"/>
        <v>0.38888198849787159</v>
      </c>
      <c r="AV83">
        <f t="shared" si="99"/>
        <v>0.45516153734207992</v>
      </c>
      <c r="AW83">
        <f t="shared" si="100"/>
        <v>0.60140056713627921</v>
      </c>
      <c r="BC83">
        <f t="shared" si="101"/>
        <v>87.117655160828107</v>
      </c>
      <c r="BD83">
        <f t="shared" si="102"/>
        <v>75.897713967195017</v>
      </c>
      <c r="BE83">
        <f t="shared" si="103"/>
        <v>33.084519733110916</v>
      </c>
      <c r="BF83">
        <f t="shared" si="104"/>
        <v>29.892588701975853</v>
      </c>
      <c r="BG83">
        <f t="shared" si="105"/>
        <v>6.4666724836250333</v>
      </c>
      <c r="BH83">
        <f t="shared" si="106"/>
        <v>47.643427662120025</v>
      </c>
      <c r="BI83">
        <f t="shared" si="107"/>
        <v>42.03901134745994</v>
      </c>
      <c r="BJ83">
        <f t="shared" si="108"/>
        <v>60.391982208400172</v>
      </c>
      <c r="BK83">
        <f t="shared" si="109"/>
        <v>3.6223347795533676</v>
      </c>
      <c r="BL83">
        <f t="shared" si="110"/>
        <v>-1.7421282268845975</v>
      </c>
      <c r="BM83">
        <f t="shared" si="111"/>
        <v>17.433607861466069</v>
      </c>
      <c r="BN83">
        <f t="shared" si="112"/>
        <v>0.46002153745946017</v>
      </c>
      <c r="BO83">
        <f t="shared" si="113"/>
        <v>-1.1680243729533151</v>
      </c>
      <c r="BP83">
        <f t="shared" si="114"/>
        <v>24.458699185525361</v>
      </c>
      <c r="BQ83">
        <f t="shared" si="115"/>
        <v>-12.446793</v>
      </c>
      <c r="BR83">
        <f t="shared" si="116"/>
        <v>96.684776631067848</v>
      </c>
      <c r="BS83">
        <f t="shared" si="117"/>
        <v>5.97470063133858</v>
      </c>
      <c r="BT83">
        <f t="shared" si="118"/>
        <v>-1.0106610295671734</v>
      </c>
      <c r="BU83">
        <f t="shared" si="119"/>
        <v>168.75952000000001</v>
      </c>
      <c r="BV83">
        <f t="shared" si="120"/>
        <v>-99.600326999999993</v>
      </c>
      <c r="BW83">
        <f t="shared" si="121"/>
        <v>382.53357126471508</v>
      </c>
      <c r="BX83">
        <f t="shared" si="122"/>
        <v>1601.6749730732358</v>
      </c>
      <c r="BY83">
        <f t="shared" si="123"/>
        <v>2036</v>
      </c>
      <c r="BZ83">
        <v>1984.2085297799899</v>
      </c>
      <c r="CD83">
        <v>2002.2178392614801</v>
      </c>
      <c r="CG83">
        <f t="shared" si="124"/>
        <v>244.39660520749797</v>
      </c>
      <c r="CH83">
        <f t="shared" si="125"/>
        <v>222.14747193135554</v>
      </c>
      <c r="CI83">
        <f t="shared" si="126"/>
        <v>81.339309196779439</v>
      </c>
      <c r="CJ83">
        <f t="shared" si="127"/>
        <v>123.09032096760396</v>
      </c>
      <c r="CK83">
        <f t="shared" si="128"/>
        <v>41.079645699490406</v>
      </c>
      <c r="CL83">
        <f t="shared" si="129"/>
        <v>69.920416097506035</v>
      </c>
      <c r="CM83">
        <f t="shared" si="130"/>
        <v>103.43038522016938</v>
      </c>
      <c r="CN83">
        <f t="shared" si="131"/>
        <v>86.288892631256047</v>
      </c>
      <c r="CO83">
        <f t="shared" si="132"/>
        <v>594.2483858173365</v>
      </c>
      <c r="CP83">
        <f t="shared" si="133"/>
        <v>408.49631694065897</v>
      </c>
      <c r="CQ83">
        <f t="shared" si="134"/>
        <v>151.18029527453191</v>
      </c>
      <c r="CR83">
        <f t="shared" si="135"/>
        <v>66.82639172178169</v>
      </c>
      <c r="CS83">
        <f t="shared" si="136"/>
        <v>-14.645877902840214</v>
      </c>
      <c r="CT83">
        <f t="shared" si="137"/>
        <v>-39.365346562791352</v>
      </c>
      <c r="CU83">
        <f t="shared" si="138"/>
        <v>73.717350999999994</v>
      </c>
      <c r="CV83">
        <f t="shared" si="139"/>
        <v>64.544372912621284</v>
      </c>
      <c r="CW83">
        <f t="shared" si="140"/>
        <v>-2.4737451424971617</v>
      </c>
      <c r="CX83">
        <f t="shared" si="141"/>
        <v>-493.94327285336624</v>
      </c>
      <c r="CY83">
        <f t="shared" si="142"/>
        <v>6.7000080000000004</v>
      </c>
      <c r="CZ83">
        <f t="shared" si="143"/>
        <v>9.4814279999999993</v>
      </c>
      <c r="DA83">
        <v>9055.55773585323</v>
      </c>
      <c r="DB83">
        <f t="shared" si="145"/>
        <v>2213147.5689030262</v>
      </c>
      <c r="DC83">
        <f t="shared" si="146"/>
        <v>2011669.2579482249</v>
      </c>
      <c r="DD83">
        <f t="shared" si="147"/>
        <v>736572.81062585383</v>
      </c>
      <c r="DE83">
        <f t="shared" si="148"/>
        <v>1114651.508246843</v>
      </c>
      <c r="DF83">
        <f t="shared" si="149"/>
        <v>371999.10340013023</v>
      </c>
      <c r="DG83">
        <f t="shared" si="150"/>
        <v>633168.36488584743</v>
      </c>
      <c r="DH83">
        <f t="shared" si="151"/>
        <v>936619.82500278449</v>
      </c>
      <c r="DI83">
        <f t="shared" si="152"/>
        <v>781394.04918517952</v>
      </c>
    </row>
    <row r="84" spans="1:113" x14ac:dyDescent="0.3">
      <c r="A84" s="1">
        <v>45853</v>
      </c>
      <c r="B84">
        <v>29</v>
      </c>
      <c r="C84">
        <v>1</v>
      </c>
      <c r="D84">
        <v>0.77669902912621303</v>
      </c>
      <c r="E84">
        <v>-0.35460488704253501</v>
      </c>
      <c r="F84">
        <v>-0.93501624268541395</v>
      </c>
      <c r="G84">
        <v>1.0075434074741401</v>
      </c>
      <c r="H84">
        <v>0.98846926318623296</v>
      </c>
      <c r="I84">
        <v>0.89358314251089599</v>
      </c>
      <c r="J84">
        <v>0.107862101045787</v>
      </c>
      <c r="K84">
        <v>73.696457469470502</v>
      </c>
      <c r="L84">
        <v>0.98508909926525801</v>
      </c>
      <c r="M84">
        <v>6.0521844920558596</v>
      </c>
      <c r="N84">
        <v>2.69381260184268</v>
      </c>
      <c r="O84">
        <v>0.639416891704497</v>
      </c>
      <c r="P84">
        <v>5.6812267567029604</v>
      </c>
      <c r="Q84">
        <v>2.25907848168809</v>
      </c>
      <c r="R84">
        <v>1.7189697766569401</v>
      </c>
      <c r="S84">
        <v>2.02041886786126</v>
      </c>
      <c r="T84">
        <v>1.0033403979436899</v>
      </c>
      <c r="U84">
        <v>27</v>
      </c>
      <c r="V84">
        <v>172</v>
      </c>
      <c r="W84">
        <v>2048</v>
      </c>
      <c r="X84">
        <v>9067.8906672672892</v>
      </c>
      <c r="Y84">
        <f t="shared" si="92"/>
        <v>18571040.086563408</v>
      </c>
      <c r="Z84">
        <f t="shared" si="144"/>
        <v>14.439069759486141</v>
      </c>
      <c r="AA84">
        <f t="shared" si="80"/>
        <v>7.4892601326819932</v>
      </c>
      <c r="AB84">
        <f t="shared" si="81"/>
        <v>1.7641660782231314</v>
      </c>
      <c r="AC84">
        <f t="shared" si="82"/>
        <v>6.519611716103304</v>
      </c>
      <c r="AD84">
        <f t="shared" si="83"/>
        <v>2.6797784162477973</v>
      </c>
      <c r="AE84">
        <f t="shared" si="84"/>
        <v>2.6029024715410758</v>
      </c>
      <c r="AF84">
        <f t="shared" si="85"/>
        <v>6.1103862187781157</v>
      </c>
      <c r="AG84">
        <f t="shared" si="86"/>
        <v>3.7202578512050524</v>
      </c>
      <c r="AH84">
        <f t="shared" si="90"/>
        <v>14.752361412031716</v>
      </c>
      <c r="AI84">
        <f t="shared" ref="AI84:AO99" si="153">PERCENTILE(AA$4:AA$107, 0.6)</f>
        <v>6.9687240579263854</v>
      </c>
      <c r="AJ84">
        <f t="shared" si="153"/>
        <v>4.6296050148216619</v>
      </c>
      <c r="AK84">
        <f t="shared" si="153"/>
        <v>3.6948385064954095</v>
      </c>
      <c r="AL84">
        <f t="shared" si="153"/>
        <v>2.5944664113759068</v>
      </c>
      <c r="AM84">
        <f t="shared" si="153"/>
        <v>2.3895751703221002</v>
      </c>
      <c r="AN84">
        <f t="shared" si="153"/>
        <v>6.5870344778956778</v>
      </c>
      <c r="AO84">
        <f t="shared" si="153"/>
        <v>3.6424813908642166</v>
      </c>
      <c r="AP84">
        <f t="shared" si="93"/>
        <v>0.49141466173321813</v>
      </c>
      <c r="AQ84">
        <f t="shared" si="94"/>
        <v>0.52519190376809155</v>
      </c>
      <c r="AR84">
        <f t="shared" si="95"/>
        <v>0.21374941835511257</v>
      </c>
      <c r="AS84">
        <f t="shared" si="96"/>
        <v>0.67036745480706239</v>
      </c>
      <c r="AT84">
        <f t="shared" si="97"/>
        <v>0.51010900879370069</v>
      </c>
      <c r="AU84">
        <f t="shared" si="98"/>
        <v>0.53202294238874759</v>
      </c>
      <c r="AV84">
        <f t="shared" si="99"/>
        <v>0.47186228673737418</v>
      </c>
      <c r="AW84">
        <f t="shared" si="100"/>
        <v>0.50713015942634476</v>
      </c>
      <c r="BC84">
        <f t="shared" si="101"/>
        <v>89.478296148371811</v>
      </c>
      <c r="BD84">
        <f t="shared" si="102"/>
        <v>65.350199469463035</v>
      </c>
      <c r="BE84">
        <f t="shared" si="103"/>
        <v>23.324507744193987</v>
      </c>
      <c r="BF84">
        <f t="shared" si="104"/>
        <v>48.448806749327829</v>
      </c>
      <c r="BG84">
        <f t="shared" si="105"/>
        <v>11.92895885339472</v>
      </c>
      <c r="BH84">
        <f t="shared" si="106"/>
        <v>65.18017630025895</v>
      </c>
      <c r="BI84">
        <f t="shared" si="107"/>
        <v>43.581503266789682</v>
      </c>
      <c r="BJ84">
        <f t="shared" si="108"/>
        <v>50.925451752157855</v>
      </c>
      <c r="BK84">
        <f t="shared" si="109"/>
        <v>3.6272681042251338</v>
      </c>
      <c r="BL84">
        <f t="shared" si="110"/>
        <v>-1.7443981668001152</v>
      </c>
      <c r="BM84">
        <f t="shared" si="111"/>
        <v>17.394868331369526</v>
      </c>
      <c r="BN84">
        <f t="shared" si="112"/>
        <v>0.32580049634762892</v>
      </c>
      <c r="BO84">
        <f t="shared" si="113"/>
        <v>-1.730714753115195</v>
      </c>
      <c r="BP84">
        <f t="shared" si="114"/>
        <v>23.553708989534247</v>
      </c>
      <c r="BQ84">
        <f t="shared" si="115"/>
        <v>-12.446793</v>
      </c>
      <c r="BR84">
        <f t="shared" si="116"/>
        <v>97.90863456310673</v>
      </c>
      <c r="BS84">
        <f t="shared" si="117"/>
        <v>7.1991858408201646</v>
      </c>
      <c r="BT84">
        <f t="shared" si="118"/>
        <v>-1.0118667762505855</v>
      </c>
      <c r="BU84">
        <f t="shared" si="119"/>
        <v>190.96472</v>
      </c>
      <c r="BV84">
        <f t="shared" si="120"/>
        <v>-116.922123</v>
      </c>
      <c r="BW84">
        <f t="shared" si="121"/>
        <v>398.21790028395787</v>
      </c>
      <c r="BX84">
        <f t="shared" si="122"/>
        <v>1607.3675367054675</v>
      </c>
      <c r="BY84">
        <f t="shared" si="123"/>
        <v>2048</v>
      </c>
      <c r="BZ84">
        <v>2005.58541944026</v>
      </c>
      <c r="CD84">
        <v>2059.2478953695099</v>
      </c>
      <c r="CG84">
        <f t="shared" si="124"/>
        <v>251.01905897308981</v>
      </c>
      <c r="CH84">
        <f t="shared" si="125"/>
        <v>191.2756108652471</v>
      </c>
      <c r="CI84">
        <f t="shared" si="126"/>
        <v>57.344019576894688</v>
      </c>
      <c r="CJ84">
        <f t="shared" si="127"/>
        <v>199.50025849979315</v>
      </c>
      <c r="CK84">
        <f t="shared" si="128"/>
        <v>75.778911720383476</v>
      </c>
      <c r="CL84">
        <f t="shared" si="129"/>
        <v>95.656951480138574</v>
      </c>
      <c r="CM84">
        <f t="shared" si="130"/>
        <v>107.22544434029574</v>
      </c>
      <c r="CN84">
        <f t="shared" si="131"/>
        <v>72.762984054345836</v>
      </c>
      <c r="CO84">
        <f t="shared" si="132"/>
        <v>595.05770367482933</v>
      </c>
      <c r="CP84">
        <f t="shared" si="133"/>
        <v>409.02857517564763</v>
      </c>
      <c r="CQ84">
        <f t="shared" si="134"/>
        <v>150.84435485156661</v>
      </c>
      <c r="CR84">
        <f t="shared" si="135"/>
        <v>47.328374476371643</v>
      </c>
      <c r="CS84">
        <f t="shared" si="136"/>
        <v>-21.701462354486779</v>
      </c>
      <c r="CT84">
        <f t="shared" si="137"/>
        <v>-37.908799244763834</v>
      </c>
      <c r="CU84">
        <f t="shared" si="138"/>
        <v>73.717350999999994</v>
      </c>
      <c r="CV84">
        <f t="shared" si="139"/>
        <v>65.361390291262083</v>
      </c>
      <c r="CW84">
        <f t="shared" si="140"/>
        <v>-2.9807269188102041</v>
      </c>
      <c r="CX84">
        <f t="shared" si="141"/>
        <v>-494.5325608991235</v>
      </c>
      <c r="CY84">
        <f t="shared" si="142"/>
        <v>7.581588</v>
      </c>
      <c r="CZ84">
        <f t="shared" si="143"/>
        <v>11.130371999999999</v>
      </c>
      <c r="DA84">
        <v>9067.8906672672892</v>
      </c>
      <c r="DB84">
        <f t="shared" si="145"/>
        <v>2276213.3821682986</v>
      </c>
      <c r="DC84">
        <f t="shared" si="146"/>
        <v>1734466.3266408239</v>
      </c>
      <c r="DD84">
        <f t="shared" si="147"/>
        <v>519989.29994491604</v>
      </c>
      <c r="DE84">
        <f t="shared" si="148"/>
        <v>1809046.5321676859</v>
      </c>
      <c r="DF84">
        <f t="shared" si="149"/>
        <v>687154.88636493718</v>
      </c>
      <c r="DG84">
        <f t="shared" si="150"/>
        <v>867406.77758598852</v>
      </c>
      <c r="DH84">
        <f t="shared" si="151"/>
        <v>972308.60602695588</v>
      </c>
      <c r="DI84">
        <f t="shared" si="152"/>
        <v>659806.78402892116</v>
      </c>
    </row>
    <row r="85" spans="1:113" x14ac:dyDescent="0.3">
      <c r="A85" s="1">
        <v>45860</v>
      </c>
      <c r="B85">
        <v>30</v>
      </c>
      <c r="C85">
        <v>1</v>
      </c>
      <c r="D85">
        <v>0.78640776699029102</v>
      </c>
      <c r="E85">
        <v>-0.46472317204376801</v>
      </c>
      <c r="F85">
        <v>-0.88545602565321002</v>
      </c>
      <c r="G85">
        <v>1.0055576296509401</v>
      </c>
      <c r="H85">
        <v>0.99307653116222105</v>
      </c>
      <c r="I85">
        <v>0.89692628236788396</v>
      </c>
      <c r="J85">
        <v>0.12794830187982001</v>
      </c>
      <c r="K85">
        <v>88.743215866005301</v>
      </c>
      <c r="L85">
        <v>0.98373775377230099</v>
      </c>
      <c r="M85">
        <v>16.301260051485599</v>
      </c>
      <c r="N85">
        <v>1.6087528794516399</v>
      </c>
      <c r="O85">
        <v>32.823631231110198</v>
      </c>
      <c r="P85">
        <v>1.6759065637368999</v>
      </c>
      <c r="Q85">
        <v>2.3576120245719601</v>
      </c>
      <c r="R85">
        <v>2.22652715547467</v>
      </c>
      <c r="S85">
        <v>2.4643556676245</v>
      </c>
      <c r="T85">
        <v>1.3452429173904901</v>
      </c>
      <c r="U85">
        <v>24</v>
      </c>
      <c r="V85">
        <v>205</v>
      </c>
      <c r="W85">
        <v>2284</v>
      </c>
      <c r="X85">
        <v>9050.0186668584793</v>
      </c>
      <c r="Y85">
        <f t="shared" si="92"/>
        <v>20670242.635104768</v>
      </c>
      <c r="Z85">
        <f t="shared" si="144"/>
        <v>24.964701907177286</v>
      </c>
      <c r="AA85">
        <f t="shared" ref="AA85:AA107" si="154">N85+(AA$2*AA84)</f>
        <v>5.353382945792637</v>
      </c>
      <c r="AB85">
        <f t="shared" ref="AB85:AB107" si="155">O85+(AB$2*AB84)</f>
        <v>33.61750596631061</v>
      </c>
      <c r="AC85">
        <f t="shared" ref="AC85:AC107" si="156">P85+(AC$2*AC84)</f>
        <v>3.6317900785678914</v>
      </c>
      <c r="AD85">
        <f t="shared" ref="AD85:AD107" si="157">Q85+(AD$2*AD84)</f>
        <v>3.2955344702586888</v>
      </c>
      <c r="AE85">
        <f t="shared" ref="AE85:AE107" si="158">R85+(AE$2*AE84)</f>
        <v>3.5279783912452078</v>
      </c>
      <c r="AF85">
        <f t="shared" ref="AF85:AF107" si="159">S85+(AF$2*AF84)</f>
        <v>6.7416260207691803</v>
      </c>
      <c r="AG85">
        <f t="shared" ref="AG85:AG107" si="160">T85+(AG$2*AG84)</f>
        <v>3.3913847355532689</v>
      </c>
      <c r="AH85">
        <f t="shared" si="90"/>
        <v>14.752361412031716</v>
      </c>
      <c r="AI85">
        <f t="shared" si="153"/>
        <v>6.9687240579263854</v>
      </c>
      <c r="AJ85">
        <f t="shared" si="153"/>
        <v>4.6296050148216619</v>
      </c>
      <c r="AK85">
        <f t="shared" si="153"/>
        <v>3.6948385064954095</v>
      </c>
      <c r="AL85">
        <f t="shared" si="153"/>
        <v>2.5944664113759068</v>
      </c>
      <c r="AM85">
        <f t="shared" si="153"/>
        <v>2.3895751703221002</v>
      </c>
      <c r="AN85">
        <f t="shared" si="153"/>
        <v>6.5870344778956778</v>
      </c>
      <c r="AO85">
        <f t="shared" si="153"/>
        <v>3.6424813908642166</v>
      </c>
      <c r="AP85">
        <f t="shared" si="93"/>
        <v>0.69882220461490374</v>
      </c>
      <c r="AQ85">
        <f t="shared" si="94"/>
        <v>0.40873800713258202</v>
      </c>
      <c r="AR85">
        <f t="shared" si="95"/>
        <v>0.93562423971458941</v>
      </c>
      <c r="AS85">
        <f t="shared" si="96"/>
        <v>0.49462171176528585</v>
      </c>
      <c r="AT85">
        <f t="shared" si="97"/>
        <v>0.574194216297231</v>
      </c>
      <c r="AU85">
        <f t="shared" si="98"/>
        <v>0.64208246251577383</v>
      </c>
      <c r="AV85">
        <f t="shared" si="99"/>
        <v>0.50869833533636377</v>
      </c>
      <c r="AW85">
        <f t="shared" si="100"/>
        <v>0.47591210422276659</v>
      </c>
      <c r="BC85">
        <f t="shared" si="101"/>
        <v>127.2437007863163</v>
      </c>
      <c r="BD85">
        <f t="shared" si="102"/>
        <v>50.859714525720932</v>
      </c>
      <c r="BE85">
        <f t="shared" si="103"/>
        <v>102.09606647267201</v>
      </c>
      <c r="BF85">
        <f t="shared" si="104"/>
        <v>35.747307772026417</v>
      </c>
      <c r="BG85">
        <f t="shared" si="105"/>
        <v>13.427598928834055</v>
      </c>
      <c r="BH85">
        <f t="shared" si="106"/>
        <v>78.663991289875824</v>
      </c>
      <c r="BI85">
        <f t="shared" si="107"/>
        <v>46.983704327299506</v>
      </c>
      <c r="BJ85">
        <f t="shared" si="108"/>
        <v>47.790569050911365</v>
      </c>
      <c r="BK85">
        <f t="shared" si="109"/>
        <v>3.6201190836402755</v>
      </c>
      <c r="BL85">
        <f t="shared" si="110"/>
        <v>-1.7525288291389363</v>
      </c>
      <c r="BM85">
        <f t="shared" si="111"/>
        <v>17.459947309316952</v>
      </c>
      <c r="BN85">
        <f t="shared" si="112"/>
        <v>0.38647142838044901</v>
      </c>
      <c r="BO85">
        <f t="shared" si="113"/>
        <v>-2.2681674149464377</v>
      </c>
      <c r="BP85">
        <f t="shared" si="114"/>
        <v>22.305252678142192</v>
      </c>
      <c r="BQ85">
        <f t="shared" si="115"/>
        <v>-12.446793</v>
      </c>
      <c r="BR85">
        <f t="shared" si="116"/>
        <v>99.132492495145598</v>
      </c>
      <c r="BS85">
        <f t="shared" si="117"/>
        <v>8.6690585283024593</v>
      </c>
      <c r="BT85">
        <f t="shared" si="118"/>
        <v>-1.0104786971330935</v>
      </c>
      <c r="BU85">
        <f t="shared" si="119"/>
        <v>227.60330000000002</v>
      </c>
      <c r="BV85">
        <f t="shared" si="120"/>
        <v>-103.93077599999999</v>
      </c>
      <c r="BW85">
        <f t="shared" si="121"/>
        <v>502.81265315365641</v>
      </c>
      <c r="BX85">
        <f t="shared" si="122"/>
        <v>1658.0171436579396</v>
      </c>
      <c r="BY85">
        <f t="shared" si="123"/>
        <v>2284</v>
      </c>
      <c r="BZ85">
        <v>2160.8297769033002</v>
      </c>
      <c r="CD85">
        <v>2303.8281665231002</v>
      </c>
      <c r="CG85">
        <f t="shared" si="124"/>
        <v>356.96470995235563</v>
      </c>
      <c r="CH85">
        <f t="shared" si="125"/>
        <v>148.86294216875615</v>
      </c>
      <c r="CI85">
        <f t="shared" si="126"/>
        <v>251.00631913615373</v>
      </c>
      <c r="CJ85">
        <f t="shared" si="127"/>
        <v>147.19861271485033</v>
      </c>
      <c r="CK85">
        <f t="shared" si="128"/>
        <v>85.29904800160034</v>
      </c>
      <c r="CL85">
        <f t="shared" si="129"/>
        <v>115.44549317243563</v>
      </c>
      <c r="CM85">
        <f t="shared" si="130"/>
        <v>115.59602573614634</v>
      </c>
      <c r="CN85">
        <f t="shared" si="131"/>
        <v>68.28382064676002</v>
      </c>
      <c r="CO85">
        <f t="shared" si="132"/>
        <v>593.88489823268549</v>
      </c>
      <c r="CP85">
        <f t="shared" si="133"/>
        <v>410.93506263646793</v>
      </c>
      <c r="CQ85">
        <f t="shared" si="134"/>
        <v>151.4087049952912</v>
      </c>
      <c r="CR85">
        <f t="shared" si="135"/>
        <v>56.141917191223612</v>
      </c>
      <c r="CS85">
        <f t="shared" si="136"/>
        <v>-28.440590617567526</v>
      </c>
      <c r="CT85">
        <f t="shared" si="137"/>
        <v>-35.899456270566048</v>
      </c>
      <c r="CU85">
        <f t="shared" si="138"/>
        <v>73.717350999999994</v>
      </c>
      <c r="CV85">
        <f t="shared" si="139"/>
        <v>66.178407669902896</v>
      </c>
      <c r="CW85">
        <f t="shared" si="140"/>
        <v>-3.5893081089164505</v>
      </c>
      <c r="CX85">
        <f t="shared" si="141"/>
        <v>-493.85416099825164</v>
      </c>
      <c r="CY85">
        <f t="shared" si="142"/>
        <v>9.0361949999999993</v>
      </c>
      <c r="CZ85">
        <f t="shared" si="143"/>
        <v>9.8936639999999993</v>
      </c>
      <c r="DA85">
        <v>9050.0186668584793</v>
      </c>
      <c r="DB85">
        <f t="shared" si="145"/>
        <v>3230537.2884785412</v>
      </c>
      <c r="DC85">
        <f t="shared" si="146"/>
        <v>1347212.4054307174</v>
      </c>
      <c r="DD85">
        <f t="shared" si="147"/>
        <v>2271611.8736816281</v>
      </c>
      <c r="DE85">
        <f t="shared" si="148"/>
        <v>1332150.1928050674</v>
      </c>
      <c r="DF85">
        <f t="shared" si="149"/>
        <v>771957.97667974059</v>
      </c>
      <c r="DG85">
        <f t="shared" si="150"/>
        <v>1044783.8682152256</v>
      </c>
      <c r="DH85">
        <f t="shared" si="151"/>
        <v>1046146.1907267777</v>
      </c>
      <c r="DI85">
        <f t="shared" si="152"/>
        <v>617969.85149759462</v>
      </c>
    </row>
    <row r="86" spans="1:113" x14ac:dyDescent="0.3">
      <c r="A86" s="1">
        <v>45867</v>
      </c>
      <c r="B86">
        <v>31</v>
      </c>
      <c r="C86">
        <v>1</v>
      </c>
      <c r="D86">
        <v>0.79611650485436802</v>
      </c>
      <c r="E86">
        <v>-0.56806474673115503</v>
      </c>
      <c r="F86">
        <v>-0.82298386589365602</v>
      </c>
      <c r="G86">
        <v>1.0044684681112399</v>
      </c>
      <c r="H86">
        <v>0.99362623447388698</v>
      </c>
      <c r="I86">
        <v>0.89689770194608598</v>
      </c>
      <c r="J86">
        <v>0.125357341730615</v>
      </c>
      <c r="K86">
        <v>123.675845145113</v>
      </c>
      <c r="L86">
        <v>0.98452368020359005</v>
      </c>
      <c r="M86">
        <v>9.7050847109697393</v>
      </c>
      <c r="N86">
        <v>6.9594853096979099</v>
      </c>
      <c r="O86">
        <v>5.75634187483075</v>
      </c>
      <c r="P86">
        <v>1.59364885217587</v>
      </c>
      <c r="Q86">
        <v>0.54820450022519596</v>
      </c>
      <c r="R86">
        <v>0.43181016873350297</v>
      </c>
      <c r="S86">
        <v>1.7519215583605801</v>
      </c>
      <c r="T86">
        <v>3.7959192008243199</v>
      </c>
      <c r="U86">
        <v>28</v>
      </c>
      <c r="V86">
        <v>173</v>
      </c>
      <c r="W86">
        <v>2296</v>
      </c>
      <c r="X86">
        <v>9040.2162130012293</v>
      </c>
      <c r="Y86">
        <f t="shared" si="92"/>
        <v>20756336.425050821</v>
      </c>
      <c r="Z86">
        <f t="shared" si="144"/>
        <v>24.683905855276109</v>
      </c>
      <c r="AA86">
        <f t="shared" si="154"/>
        <v>9.6361767825942284</v>
      </c>
      <c r="AB86">
        <f t="shared" si="155"/>
        <v>20.884219559670523</v>
      </c>
      <c r="AC86">
        <f t="shared" si="156"/>
        <v>2.6831858757462372</v>
      </c>
      <c r="AD86">
        <f t="shared" si="157"/>
        <v>1.7016415648157368</v>
      </c>
      <c r="AE86">
        <f t="shared" si="158"/>
        <v>2.1957993643561071</v>
      </c>
      <c r="AF86">
        <f t="shared" si="159"/>
        <v>6.4710597728990065</v>
      </c>
      <c r="AG86">
        <f t="shared" si="160"/>
        <v>5.6611808053786179</v>
      </c>
      <c r="AH86">
        <f t="shared" si="90"/>
        <v>14.752361412031716</v>
      </c>
      <c r="AI86">
        <f t="shared" si="153"/>
        <v>6.9687240579263854</v>
      </c>
      <c r="AJ86">
        <f t="shared" si="153"/>
        <v>4.6296050148216619</v>
      </c>
      <c r="AK86">
        <f t="shared" si="153"/>
        <v>3.6948385064954095</v>
      </c>
      <c r="AL86">
        <f t="shared" si="153"/>
        <v>2.5944664113759068</v>
      </c>
      <c r="AM86">
        <f t="shared" si="153"/>
        <v>2.3895751703221002</v>
      </c>
      <c r="AN86">
        <f t="shared" si="153"/>
        <v>6.5870344778956778</v>
      </c>
      <c r="AO86">
        <f t="shared" si="153"/>
        <v>3.6424813908642166</v>
      </c>
      <c r="AP86">
        <f t="shared" si="93"/>
        <v>0.69499940228187862</v>
      </c>
      <c r="AQ86">
        <f t="shared" si="94"/>
        <v>0.61152551759307849</v>
      </c>
      <c r="AR86">
        <f t="shared" si="95"/>
        <v>0.88430095488117377</v>
      </c>
      <c r="AS86">
        <f t="shared" si="96"/>
        <v>0.40133276240980342</v>
      </c>
      <c r="AT86">
        <f t="shared" si="97"/>
        <v>0.37116216786018352</v>
      </c>
      <c r="AU86">
        <f t="shared" si="98"/>
        <v>0.46832891880080885</v>
      </c>
      <c r="AV86">
        <f t="shared" si="99"/>
        <v>0.49333913752130937</v>
      </c>
      <c r="AW86">
        <f t="shared" si="100"/>
        <v>0.64458164034813958</v>
      </c>
      <c r="BC86">
        <f t="shared" si="101"/>
        <v>126.54763315564229</v>
      </c>
      <c r="BD86">
        <f t="shared" si="102"/>
        <v>76.09278488234439</v>
      </c>
      <c r="BE86">
        <f t="shared" si="103"/>
        <v>96.495628521698535</v>
      </c>
      <c r="BF86">
        <f t="shared" si="104"/>
        <v>29.005127424872747</v>
      </c>
      <c r="BG86">
        <f t="shared" si="105"/>
        <v>8.6796707213840314</v>
      </c>
      <c r="BH86">
        <f t="shared" si="106"/>
        <v>57.376776566979885</v>
      </c>
      <c r="BI86">
        <f t="shared" si="107"/>
        <v>45.565118971855284</v>
      </c>
      <c r="BJ86">
        <f t="shared" si="108"/>
        <v>64.728177994792517</v>
      </c>
      <c r="BK86">
        <f t="shared" si="109"/>
        <v>3.6161979812004241</v>
      </c>
      <c r="BL86">
        <f t="shared" si="110"/>
        <v>-1.7534989164090886</v>
      </c>
      <c r="BM86">
        <f t="shared" si="111"/>
        <v>17.459390950708134</v>
      </c>
      <c r="BN86">
        <f t="shared" si="112"/>
        <v>0.37864536070289107</v>
      </c>
      <c r="BO86">
        <f t="shared" si="113"/>
        <v>-2.7725450883995473</v>
      </c>
      <c r="BP86">
        <f t="shared" si="114"/>
        <v>20.731535555647991</v>
      </c>
      <c r="BQ86">
        <f t="shared" si="115"/>
        <v>-12.446793</v>
      </c>
      <c r="BR86">
        <f t="shared" si="116"/>
        <v>100.35635042718435</v>
      </c>
      <c r="BS86">
        <f t="shared" si="117"/>
        <v>12.081522284690653</v>
      </c>
      <c r="BT86">
        <f t="shared" si="118"/>
        <v>-1.0112859874025641</v>
      </c>
      <c r="BU86">
        <f t="shared" si="119"/>
        <v>192.07498000000001</v>
      </c>
      <c r="BV86">
        <f t="shared" si="120"/>
        <v>-121.25257199999999</v>
      </c>
      <c r="BW86">
        <f t="shared" si="121"/>
        <v>504.49091823956968</v>
      </c>
      <c r="BX86">
        <f t="shared" si="122"/>
        <v>1607.7111736441534</v>
      </c>
      <c r="BY86">
        <f t="shared" si="123"/>
        <v>2296</v>
      </c>
      <c r="BZ86">
        <v>2112.20206390166</v>
      </c>
      <c r="CD86">
        <v>2287.4069347056002</v>
      </c>
      <c r="CG86">
        <f t="shared" si="124"/>
        <v>355.01198790517128</v>
      </c>
      <c r="CH86">
        <f t="shared" si="125"/>
        <v>222.71843129735828</v>
      </c>
      <c r="CI86">
        <f t="shared" si="126"/>
        <v>237.23747020600862</v>
      </c>
      <c r="CJ86">
        <f t="shared" si="127"/>
        <v>119.43597391409097</v>
      </c>
      <c r="CK86">
        <f t="shared" si="128"/>
        <v>55.137754219898284</v>
      </c>
      <c r="CL86">
        <f t="shared" si="129"/>
        <v>84.204858650137481</v>
      </c>
      <c r="CM86">
        <f t="shared" si="130"/>
        <v>112.10581925701247</v>
      </c>
      <c r="CN86">
        <f t="shared" si="131"/>
        <v>92.484508654405388</v>
      </c>
      <c r="CO86">
        <f t="shared" si="132"/>
        <v>593.24163665215497</v>
      </c>
      <c r="CP86">
        <f t="shared" si="133"/>
        <v>411.16252986353703</v>
      </c>
      <c r="CQ86">
        <f t="shared" si="134"/>
        <v>151.4038803795589</v>
      </c>
      <c r="CR86">
        <f t="shared" si="135"/>
        <v>55.005040280742548</v>
      </c>
      <c r="CS86">
        <f t="shared" si="136"/>
        <v>-34.764991026811479</v>
      </c>
      <c r="CT86">
        <f t="shared" si="137"/>
        <v>-33.366618385408003</v>
      </c>
      <c r="CU86">
        <f t="shared" si="138"/>
        <v>73.717350999999994</v>
      </c>
      <c r="CV86">
        <f t="shared" si="139"/>
        <v>66.995425048543609</v>
      </c>
      <c r="CW86">
        <f t="shared" si="140"/>
        <v>-5.0021932327392404</v>
      </c>
      <c r="CX86">
        <f t="shared" si="141"/>
        <v>-494.24871029438492</v>
      </c>
      <c r="CY86">
        <f t="shared" si="142"/>
        <v>7.625667</v>
      </c>
      <c r="CZ86">
        <f t="shared" si="143"/>
        <v>11.542608</v>
      </c>
      <c r="DA86">
        <v>9040.2162130012293</v>
      </c>
      <c r="DB86">
        <f t="shared" si="145"/>
        <v>3209385.1288701259</v>
      </c>
      <c r="DC86">
        <f t="shared" si="146"/>
        <v>2013422.7735485788</v>
      </c>
      <c r="DD86">
        <f t="shared" si="147"/>
        <v>2144678.0244877553</v>
      </c>
      <c r="DE86">
        <f t="shared" si="148"/>
        <v>1079727.0277937572</v>
      </c>
      <c r="DF86">
        <f t="shared" si="149"/>
        <v>498457.21964720142</v>
      </c>
      <c r="DG86">
        <f t="shared" si="150"/>
        <v>761230.12838244962</v>
      </c>
      <c r="DH86">
        <f t="shared" si="151"/>
        <v>1013460.8448190296</v>
      </c>
      <c r="DI86">
        <f t="shared" si="152"/>
        <v>836079.95458900812</v>
      </c>
    </row>
    <row r="87" spans="1:113" x14ac:dyDescent="0.3">
      <c r="A87" s="1">
        <v>45874</v>
      </c>
      <c r="B87">
        <v>32</v>
      </c>
      <c r="C87">
        <v>1</v>
      </c>
      <c r="D87">
        <v>0.80582524271844602</v>
      </c>
      <c r="E87">
        <v>-0.66312265824079497</v>
      </c>
      <c r="F87">
        <v>-0.74851074817110097</v>
      </c>
      <c r="G87">
        <v>1.0033232544292501</v>
      </c>
      <c r="H87">
        <v>0.98995282737872503</v>
      </c>
      <c r="I87">
        <v>0.902399411528791</v>
      </c>
      <c r="J87">
        <v>0.10320737730151899</v>
      </c>
      <c r="K87">
        <v>100.429097071591</v>
      </c>
      <c r="L87">
        <v>0.98561675155470096</v>
      </c>
      <c r="M87">
        <v>1.9770987968637801</v>
      </c>
      <c r="N87">
        <v>8.3543034453429907</v>
      </c>
      <c r="O87">
        <v>1.3295076548709299</v>
      </c>
      <c r="P87">
        <v>3.1185965296465099</v>
      </c>
      <c r="Q87">
        <v>0.84244819016758299</v>
      </c>
      <c r="R87">
        <v>0.84190680373851601</v>
      </c>
      <c r="S87">
        <v>2.9759959840080601</v>
      </c>
      <c r="T87">
        <v>0.20699312018194299</v>
      </c>
      <c r="U87">
        <v>20</v>
      </c>
      <c r="V87">
        <v>144</v>
      </c>
      <c r="W87">
        <v>2157</v>
      </c>
      <c r="X87">
        <v>9029.9092898632698</v>
      </c>
      <c r="Y87">
        <f t="shared" si="92"/>
        <v>19477514.338235073</v>
      </c>
      <c r="Z87">
        <f t="shared" si="144"/>
        <v>16.787442310029444</v>
      </c>
      <c r="AA87">
        <f t="shared" si="154"/>
        <v>13.172391836640106</v>
      </c>
      <c r="AB87">
        <f t="shared" si="155"/>
        <v>10.727406456722665</v>
      </c>
      <c r="AC87">
        <f t="shared" si="156"/>
        <v>3.9235522923703812</v>
      </c>
      <c r="AD87">
        <f t="shared" si="157"/>
        <v>1.4380227378530908</v>
      </c>
      <c r="AE87">
        <f t="shared" si="158"/>
        <v>1.9398064859165696</v>
      </c>
      <c r="AF87">
        <f t="shared" si="159"/>
        <v>7.5057378250373645</v>
      </c>
      <c r="AG87">
        <f t="shared" si="160"/>
        <v>3.3206425631401828</v>
      </c>
      <c r="AH87">
        <f t="shared" si="90"/>
        <v>14.752361412031716</v>
      </c>
      <c r="AI87">
        <f t="shared" si="153"/>
        <v>6.9687240579263854</v>
      </c>
      <c r="AJ87">
        <f t="shared" si="153"/>
        <v>4.6296050148216619</v>
      </c>
      <c r="AK87">
        <f t="shared" si="153"/>
        <v>3.6948385064954095</v>
      </c>
      <c r="AL87">
        <f t="shared" si="153"/>
        <v>2.5944664113759068</v>
      </c>
      <c r="AM87">
        <f t="shared" si="153"/>
        <v>2.3895751703221002</v>
      </c>
      <c r="AN87">
        <f t="shared" si="153"/>
        <v>6.5870344778956778</v>
      </c>
      <c r="AO87">
        <f t="shared" si="153"/>
        <v>3.6424813908642166</v>
      </c>
      <c r="AP87">
        <f t="shared" si="93"/>
        <v>0.55150781079794442</v>
      </c>
      <c r="AQ87">
        <f t="shared" si="94"/>
        <v>0.70917226541022749</v>
      </c>
      <c r="AR87">
        <f t="shared" si="95"/>
        <v>0.75665843249179021</v>
      </c>
      <c r="AS87">
        <f t="shared" si="96"/>
        <v>0.51876012456046861</v>
      </c>
      <c r="AT87">
        <f t="shared" si="97"/>
        <v>0.32352048027278307</v>
      </c>
      <c r="AU87">
        <f t="shared" si="98"/>
        <v>0.42243361747085084</v>
      </c>
      <c r="AV87">
        <f t="shared" si="99"/>
        <v>0.54880579798960161</v>
      </c>
      <c r="AW87">
        <f t="shared" si="100"/>
        <v>0.46881945450746698</v>
      </c>
      <c r="BC87">
        <f t="shared" si="101"/>
        <v>100.4202419371626</v>
      </c>
      <c r="BD87">
        <f t="shared" si="102"/>
        <v>88.243075855247113</v>
      </c>
      <c r="BE87">
        <f t="shared" si="103"/>
        <v>82.567174236908571</v>
      </c>
      <c r="BF87">
        <f t="shared" si="104"/>
        <v>37.491839503636051</v>
      </c>
      <c r="BG87">
        <f t="shared" si="105"/>
        <v>7.5655642830752248</v>
      </c>
      <c r="BH87">
        <f t="shared" si="106"/>
        <v>51.753966733613112</v>
      </c>
      <c r="BI87">
        <f t="shared" si="107"/>
        <v>50.688055286836118</v>
      </c>
      <c r="BJ87">
        <f t="shared" si="108"/>
        <v>47.078332982600969</v>
      </c>
      <c r="BK87">
        <f t="shared" si="109"/>
        <v>3.6120750848265422</v>
      </c>
      <c r="BL87">
        <f t="shared" si="110"/>
        <v>-1.747016282258123</v>
      </c>
      <c r="BM87">
        <f t="shared" si="111"/>
        <v>17.566489562169934</v>
      </c>
      <c r="BN87">
        <f t="shared" si="112"/>
        <v>0.31174077294580255</v>
      </c>
      <c r="BO87">
        <f t="shared" si="113"/>
        <v>-3.2364928112359741</v>
      </c>
      <c r="BP87">
        <f t="shared" si="114"/>
        <v>18.855505961400013</v>
      </c>
      <c r="BQ87">
        <f t="shared" si="115"/>
        <v>-12.446793</v>
      </c>
      <c r="BR87">
        <f t="shared" si="116"/>
        <v>101.58020835922322</v>
      </c>
      <c r="BS87">
        <f t="shared" si="117"/>
        <v>9.8106172056325089</v>
      </c>
      <c r="BT87">
        <f t="shared" si="118"/>
        <v>-1.0124087717122123</v>
      </c>
      <c r="BU87">
        <f t="shared" si="119"/>
        <v>159.87744000000001</v>
      </c>
      <c r="BV87">
        <f t="shared" si="120"/>
        <v>-86.608980000000003</v>
      </c>
      <c r="BW87">
        <f t="shared" si="121"/>
        <v>465.80825081907977</v>
      </c>
      <c r="BX87">
        <f t="shared" si="122"/>
        <v>1606.8116321572218</v>
      </c>
      <c r="BY87">
        <f t="shared" si="123"/>
        <v>2157</v>
      </c>
      <c r="BZ87">
        <v>2072.6198605058698</v>
      </c>
      <c r="CD87">
        <v>2205.27990620234</v>
      </c>
      <c r="CG87">
        <f t="shared" si="124"/>
        <v>281.71518365881678</v>
      </c>
      <c r="CH87">
        <f t="shared" si="125"/>
        <v>258.28151062840845</v>
      </c>
      <c r="CI87">
        <f t="shared" si="126"/>
        <v>202.99393701154295</v>
      </c>
      <c r="CJ87">
        <f t="shared" si="127"/>
        <v>154.3821648963918</v>
      </c>
      <c r="CK87">
        <f t="shared" si="128"/>
        <v>48.060374335090636</v>
      </c>
      <c r="CL87">
        <f t="shared" si="129"/>
        <v>75.952950202779178</v>
      </c>
      <c r="CM87">
        <f t="shared" si="130"/>
        <v>124.70999950610098</v>
      </c>
      <c r="CN87">
        <f t="shared" si="131"/>
        <v>67.266167981966447</v>
      </c>
      <c r="CO87">
        <f t="shared" si="132"/>
        <v>592.56527053356729</v>
      </c>
      <c r="CP87">
        <f t="shared" si="133"/>
        <v>409.6424740295995</v>
      </c>
      <c r="CQ87">
        <f t="shared" si="134"/>
        <v>152.33261525950735</v>
      </c>
      <c r="CR87">
        <f t="shared" si="135"/>
        <v>45.285947096255448</v>
      </c>
      <c r="CS87">
        <f t="shared" si="136"/>
        <v>-40.582439582942463</v>
      </c>
      <c r="CT87">
        <f t="shared" si="137"/>
        <v>-30.347220069109596</v>
      </c>
      <c r="CU87">
        <f t="shared" si="138"/>
        <v>73.717350999999994</v>
      </c>
      <c r="CV87">
        <f t="shared" si="139"/>
        <v>67.812442427184408</v>
      </c>
      <c r="CW87">
        <f t="shared" si="140"/>
        <v>-4.0619552601575704</v>
      </c>
      <c r="CX87">
        <f t="shared" si="141"/>
        <v>-494.79745190051329</v>
      </c>
      <c r="CY87">
        <f t="shared" si="142"/>
        <v>6.3473759999999997</v>
      </c>
      <c r="CZ87">
        <f t="shared" si="143"/>
        <v>8.2447199999999992</v>
      </c>
      <c r="DA87">
        <v>9029.9092898632698</v>
      </c>
      <c r="DB87">
        <f t="shared" si="145"/>
        <v>2543862.554016287</v>
      </c>
      <c r="DC87">
        <f t="shared" si="146"/>
        <v>2332258.6122233844</v>
      </c>
      <c r="DD87">
        <f t="shared" si="147"/>
        <v>1833016.8376064512</v>
      </c>
      <c r="DE87">
        <f t="shared" si="148"/>
        <v>1394056.9449871315</v>
      </c>
      <c r="DF87">
        <f t="shared" si="149"/>
        <v>433980.82068274118</v>
      </c>
      <c r="DG87">
        <f t="shared" si="150"/>
        <v>685848.25062859803</v>
      </c>
      <c r="DH87">
        <f t="shared" si="151"/>
        <v>1126119.983078985</v>
      </c>
      <c r="DI87">
        <f t="shared" si="152"/>
        <v>607407.39515386207</v>
      </c>
    </row>
    <row r="88" spans="1:113" x14ac:dyDescent="0.3">
      <c r="A88" s="1">
        <v>45881</v>
      </c>
      <c r="B88">
        <v>33</v>
      </c>
      <c r="C88">
        <v>1</v>
      </c>
      <c r="D88">
        <v>0.81553398058252402</v>
      </c>
      <c r="E88">
        <v>-0.74851074817110097</v>
      </c>
      <c r="F88">
        <v>-0.66312265824079497</v>
      </c>
      <c r="G88">
        <v>0.99973573549248596</v>
      </c>
      <c r="H88">
        <v>0.98584834978098801</v>
      </c>
      <c r="I88">
        <v>0.91704501681730999</v>
      </c>
      <c r="J88">
        <v>2.44288879252955E-2</v>
      </c>
      <c r="K88">
        <v>105.332974203904</v>
      </c>
      <c r="L88">
        <v>0.98475178061635105</v>
      </c>
      <c r="M88">
        <v>8.2761877720678694</v>
      </c>
      <c r="N88">
        <v>0.61824479343887795</v>
      </c>
      <c r="O88">
        <v>1.20404173542491</v>
      </c>
      <c r="P88">
        <v>2.1483253115693399</v>
      </c>
      <c r="Q88">
        <v>2.60037720033311</v>
      </c>
      <c r="R88">
        <v>0.228113373722202</v>
      </c>
      <c r="S88">
        <v>1.25960248238678</v>
      </c>
      <c r="T88">
        <v>1.1808874958690201</v>
      </c>
      <c r="U88">
        <v>25</v>
      </c>
      <c r="V88">
        <v>148</v>
      </c>
      <c r="W88">
        <v>2038</v>
      </c>
      <c r="X88">
        <v>8997.6216194323697</v>
      </c>
      <c r="Y88">
        <f t="shared" si="92"/>
        <v>18337152.860403169</v>
      </c>
      <c r="Z88">
        <f t="shared" si="144"/>
        <v>18.348653158085536</v>
      </c>
      <c r="AA88">
        <f t="shared" si="154"/>
        <v>7.2044407117589309</v>
      </c>
      <c r="AB88">
        <f t="shared" si="155"/>
        <v>6.0313746409501103</v>
      </c>
      <c r="AC88">
        <f t="shared" si="156"/>
        <v>3.3253909992804545</v>
      </c>
      <c r="AD88">
        <f t="shared" si="157"/>
        <v>3.1036851585816918</v>
      </c>
      <c r="AE88">
        <f t="shared" si="158"/>
        <v>1.1980166166804869</v>
      </c>
      <c r="AF88">
        <f t="shared" si="159"/>
        <v>6.5136189599129342</v>
      </c>
      <c r="AG88">
        <f t="shared" si="160"/>
        <v>3.0072409055961207</v>
      </c>
      <c r="AH88">
        <f t="shared" si="90"/>
        <v>14.752361412031716</v>
      </c>
      <c r="AI88">
        <f t="shared" si="153"/>
        <v>6.9687240579263854</v>
      </c>
      <c r="AJ88">
        <f t="shared" si="153"/>
        <v>4.6296050148216619</v>
      </c>
      <c r="AK88">
        <f t="shared" si="153"/>
        <v>3.6948385064954095</v>
      </c>
      <c r="AL88">
        <f t="shared" si="153"/>
        <v>2.5944664113759068</v>
      </c>
      <c r="AM88">
        <f t="shared" si="153"/>
        <v>2.3895751703221002</v>
      </c>
      <c r="AN88">
        <f t="shared" si="153"/>
        <v>6.5870344778956778</v>
      </c>
      <c r="AO88">
        <f t="shared" si="153"/>
        <v>3.6424813908642166</v>
      </c>
      <c r="AP88">
        <f t="shared" si="93"/>
        <v>0.58638592964256986</v>
      </c>
      <c r="AQ88">
        <f t="shared" si="94"/>
        <v>0.51164080546998403</v>
      </c>
      <c r="AR88">
        <f t="shared" si="95"/>
        <v>0.58833330087894442</v>
      </c>
      <c r="AS88">
        <f t="shared" si="96"/>
        <v>0.46712574778355864</v>
      </c>
      <c r="AT88">
        <f t="shared" si="97"/>
        <v>0.55576988212007461</v>
      </c>
      <c r="AU88">
        <f t="shared" si="98"/>
        <v>0.26198588140014867</v>
      </c>
      <c r="AV88">
        <f t="shared" si="99"/>
        <v>0.49579708613271506</v>
      </c>
      <c r="AW88">
        <f t="shared" si="100"/>
        <v>0.43567915325998002</v>
      </c>
      <c r="BC88">
        <f t="shared" si="101"/>
        <v>106.77095731075427</v>
      </c>
      <c r="BD88">
        <f t="shared" si="102"/>
        <v>63.664021578185661</v>
      </c>
      <c r="BE88">
        <f t="shared" si="103"/>
        <v>64.199401046884418</v>
      </c>
      <c r="BF88">
        <f t="shared" si="104"/>
        <v>33.760119050699565</v>
      </c>
      <c r="BG88">
        <f t="shared" si="105"/>
        <v>12.996743718454153</v>
      </c>
      <c r="BH88">
        <f t="shared" si="106"/>
        <v>32.096897666046196</v>
      </c>
      <c r="BI88">
        <f t="shared" si="107"/>
        <v>45.792136681149778</v>
      </c>
      <c r="BJ88">
        <f t="shared" si="108"/>
        <v>43.7504204519403</v>
      </c>
      <c r="BK88">
        <f t="shared" si="109"/>
        <v>3.5991596184395891</v>
      </c>
      <c r="BL88">
        <f t="shared" si="110"/>
        <v>-1.7397729177309493</v>
      </c>
      <c r="BM88">
        <f t="shared" si="111"/>
        <v>17.851587124452887</v>
      </c>
      <c r="BN88">
        <f t="shared" si="112"/>
        <v>7.3788139987216964E-2</v>
      </c>
      <c r="BO88">
        <f t="shared" si="113"/>
        <v>-3.6532451809374695</v>
      </c>
      <c r="BP88">
        <f t="shared" si="114"/>
        <v>16.704520631333104</v>
      </c>
      <c r="BQ88">
        <f t="shared" si="115"/>
        <v>-12.446793</v>
      </c>
      <c r="BR88">
        <f t="shared" si="116"/>
        <v>102.8040662912621</v>
      </c>
      <c r="BS88">
        <f t="shared" si="117"/>
        <v>10.28966225105677</v>
      </c>
      <c r="BT88">
        <f t="shared" si="118"/>
        <v>-1.0115202882688452</v>
      </c>
      <c r="BU88">
        <f t="shared" si="119"/>
        <v>164.31847999999999</v>
      </c>
      <c r="BV88">
        <f t="shared" si="120"/>
        <v>-108.261225</v>
      </c>
      <c r="BW88">
        <f t="shared" si="121"/>
        <v>403.0306975041143</v>
      </c>
      <c r="BX88">
        <f t="shared" si="122"/>
        <v>1588.7779537458246</v>
      </c>
      <c r="BY88">
        <f t="shared" si="123"/>
        <v>2038</v>
      </c>
      <c r="BZ88">
        <v>1991.80862721976</v>
      </c>
      <c r="CD88">
        <v>2045.09832484148</v>
      </c>
      <c r="CG88">
        <f t="shared" si="124"/>
        <v>299.53124258601758</v>
      </c>
      <c r="CH88">
        <f t="shared" si="125"/>
        <v>186.34028230007166</v>
      </c>
      <c r="CI88">
        <f t="shared" si="126"/>
        <v>157.83620176823894</v>
      </c>
      <c r="CJ88">
        <f t="shared" si="127"/>
        <v>139.01585878978943</v>
      </c>
      <c r="CK88">
        <f t="shared" si="128"/>
        <v>82.562033032154432</v>
      </c>
      <c r="CL88">
        <f t="shared" si="129"/>
        <v>47.104680548275169</v>
      </c>
      <c r="CM88">
        <f t="shared" si="130"/>
        <v>112.66436067774329</v>
      </c>
      <c r="CN88">
        <f t="shared" si="131"/>
        <v>62.511200906147451</v>
      </c>
      <c r="CO88">
        <f t="shared" si="132"/>
        <v>590.44647270851624</v>
      </c>
      <c r="CP88">
        <f t="shared" si="133"/>
        <v>407.94404122428278</v>
      </c>
      <c r="CQ88">
        <f t="shared" si="134"/>
        <v>154.80491668962347</v>
      </c>
      <c r="CR88">
        <f t="shared" si="135"/>
        <v>10.719052795744314</v>
      </c>
      <c r="CS88">
        <f t="shared" si="136"/>
        <v>-45.808104786258717</v>
      </c>
      <c r="CT88">
        <f t="shared" si="137"/>
        <v>-26.885290948215292</v>
      </c>
      <c r="CU88">
        <f t="shared" si="138"/>
        <v>73.717350999999994</v>
      </c>
      <c r="CV88">
        <f t="shared" si="139"/>
        <v>68.629459805825221</v>
      </c>
      <c r="CW88">
        <f t="shared" si="140"/>
        <v>-4.2602974746511011</v>
      </c>
      <c r="CX88">
        <f t="shared" si="141"/>
        <v>-494.36322083089271</v>
      </c>
      <c r="CY88">
        <f t="shared" si="142"/>
        <v>6.5236919999999996</v>
      </c>
      <c r="CZ88">
        <f t="shared" si="143"/>
        <v>10.305899999999999</v>
      </c>
      <c r="DA88">
        <v>8997.6216194323697</v>
      </c>
      <c r="DB88">
        <f t="shared" si="145"/>
        <v>2695068.7839873936</v>
      </c>
      <c r="DC88">
        <f t="shared" si="146"/>
        <v>1676619.3525942557</v>
      </c>
      <c r="DD88">
        <f t="shared" si="147"/>
        <v>1420150.4213589963</v>
      </c>
      <c r="DE88">
        <f t="shared" si="148"/>
        <v>1250812.0964909669</v>
      </c>
      <c r="DF88">
        <f t="shared" si="149"/>
        <v>742861.93335440219</v>
      </c>
      <c r="DG88">
        <f t="shared" si="150"/>
        <v>423830.09207761608</v>
      </c>
      <c r="DH88">
        <f t="shared" si="151"/>
        <v>1013711.2873735891</v>
      </c>
      <c r="DI88">
        <f t="shared" si="152"/>
        <v>562452.13272983267</v>
      </c>
    </row>
    <row r="89" spans="1:113" x14ac:dyDescent="0.3">
      <c r="A89" s="1">
        <v>45888</v>
      </c>
      <c r="B89">
        <v>34</v>
      </c>
      <c r="C89">
        <v>1</v>
      </c>
      <c r="D89">
        <v>0.82524271844660102</v>
      </c>
      <c r="E89">
        <v>-0.82298386589365602</v>
      </c>
      <c r="F89">
        <v>-0.56806474673115503</v>
      </c>
      <c r="G89">
        <v>1.0011966529348399</v>
      </c>
      <c r="H89">
        <v>0.99080113357768196</v>
      </c>
      <c r="I89">
        <v>0.87811982335767702</v>
      </c>
      <c r="J89">
        <v>1.1819555938158E-2</v>
      </c>
      <c r="K89">
        <v>99.164011103129198</v>
      </c>
      <c r="L89">
        <v>0.98559109117227495</v>
      </c>
      <c r="M89">
        <v>4.2577638337195101</v>
      </c>
      <c r="N89">
        <v>9.6188514087621702</v>
      </c>
      <c r="O89">
        <v>0.49153460105045699</v>
      </c>
      <c r="P89">
        <v>3.1788654494530402</v>
      </c>
      <c r="Q89">
        <v>1.0145589717974599</v>
      </c>
      <c r="R89">
        <v>1.0222347044042699</v>
      </c>
      <c r="S89">
        <v>0.98621522432060604</v>
      </c>
      <c r="T89">
        <v>1.1098126181957899</v>
      </c>
      <c r="U89">
        <v>25</v>
      </c>
      <c r="V89">
        <v>174</v>
      </c>
      <c r="W89">
        <v>2040</v>
      </c>
      <c r="X89">
        <v>9010.7698764135803</v>
      </c>
      <c r="Y89">
        <f t="shared" si="92"/>
        <v>18381970.547883704</v>
      </c>
      <c r="Z89">
        <f t="shared" si="144"/>
        <v>15.266955728570831</v>
      </c>
      <c r="AA89">
        <f t="shared" si="154"/>
        <v>13.221071764641636</v>
      </c>
      <c r="AB89">
        <f t="shared" si="155"/>
        <v>3.2056531894780069</v>
      </c>
      <c r="AC89">
        <f t="shared" si="156"/>
        <v>4.1764827492371763</v>
      </c>
      <c r="AD89">
        <f t="shared" si="157"/>
        <v>2.100848777301052</v>
      </c>
      <c r="AE89">
        <f t="shared" si="158"/>
        <v>1.6212430127445132</v>
      </c>
      <c r="AF89">
        <f t="shared" si="159"/>
        <v>5.5457484962596597</v>
      </c>
      <c r="AG89">
        <f t="shared" si="160"/>
        <v>2.7637951162736565</v>
      </c>
      <c r="AH89">
        <f t="shared" si="90"/>
        <v>14.752361412031716</v>
      </c>
      <c r="AI89">
        <f t="shared" si="153"/>
        <v>6.9687240579263854</v>
      </c>
      <c r="AJ89">
        <f t="shared" si="153"/>
        <v>4.6296050148216619</v>
      </c>
      <c r="AK89">
        <f t="shared" si="153"/>
        <v>3.6948385064954095</v>
      </c>
      <c r="AL89">
        <f t="shared" si="153"/>
        <v>2.5944664113759068</v>
      </c>
      <c r="AM89">
        <f t="shared" si="153"/>
        <v>2.3895751703221002</v>
      </c>
      <c r="AN89">
        <f t="shared" si="153"/>
        <v>6.5870344778956778</v>
      </c>
      <c r="AO89">
        <f t="shared" si="153"/>
        <v>3.6424813908642166</v>
      </c>
      <c r="AP89">
        <f t="shared" si="93"/>
        <v>0.51371158957155338</v>
      </c>
      <c r="AQ89">
        <f t="shared" si="94"/>
        <v>0.7102362363813941</v>
      </c>
      <c r="AR89">
        <f t="shared" si="95"/>
        <v>0.37843405755442494</v>
      </c>
      <c r="AS89">
        <f t="shared" si="96"/>
        <v>0.5382167529034263</v>
      </c>
      <c r="AT89">
        <f t="shared" si="97"/>
        <v>0.43442998931279975</v>
      </c>
      <c r="AU89">
        <f t="shared" si="98"/>
        <v>0.35849927524195141</v>
      </c>
      <c r="AV89">
        <f t="shared" si="99"/>
        <v>0.43582899087096211</v>
      </c>
      <c r="AW89">
        <f t="shared" si="100"/>
        <v>0.40789323508389341</v>
      </c>
      <c r="BC89">
        <f t="shared" si="101"/>
        <v>93.538189488307495</v>
      </c>
      <c r="BD89">
        <f t="shared" si="102"/>
        <v>88.375466919725824</v>
      </c>
      <c r="BE89">
        <f t="shared" si="103"/>
        <v>41.295027486018952</v>
      </c>
      <c r="BF89">
        <f t="shared" si="104"/>
        <v>38.89800923908772</v>
      </c>
      <c r="BG89">
        <f t="shared" si="105"/>
        <v>10.159196128388572</v>
      </c>
      <c r="BH89">
        <f t="shared" si="106"/>
        <v>43.921124639604777</v>
      </c>
      <c r="BI89">
        <f t="shared" si="107"/>
        <v>40.253444963225206</v>
      </c>
      <c r="BJ89">
        <f t="shared" si="108"/>
        <v>40.960189168779515</v>
      </c>
      <c r="BK89">
        <f t="shared" si="109"/>
        <v>3.6044190833938998</v>
      </c>
      <c r="BL89">
        <f t="shared" si="110"/>
        <v>-1.7485133280778136</v>
      </c>
      <c r="BM89">
        <f t="shared" si="111"/>
        <v>17.093852804285646</v>
      </c>
      <c r="BN89">
        <f t="shared" si="112"/>
        <v>3.5701299658772508E-2</v>
      </c>
      <c r="BO89">
        <f t="shared" si="113"/>
        <v>-4.0167250095091784</v>
      </c>
      <c r="BP89">
        <f t="shared" si="114"/>
        <v>14.309945775156775</v>
      </c>
      <c r="BQ89">
        <f t="shared" si="115"/>
        <v>-12.446793</v>
      </c>
      <c r="BR89">
        <f t="shared" si="116"/>
        <v>104.02792422330086</v>
      </c>
      <c r="BS89">
        <f t="shared" si="117"/>
        <v>9.6870347526313818</v>
      </c>
      <c r="BT89">
        <f t="shared" si="118"/>
        <v>-1.0123824138036108</v>
      </c>
      <c r="BU89">
        <f t="shared" si="119"/>
        <v>193.18523999999999</v>
      </c>
      <c r="BV89">
        <f t="shared" si="120"/>
        <v>-108.261225</v>
      </c>
      <c r="BW89">
        <f t="shared" si="121"/>
        <v>397.40064803313811</v>
      </c>
      <c r="BX89">
        <f t="shared" si="122"/>
        <v>1614.7077252632669</v>
      </c>
      <c r="BY89">
        <f t="shared" si="123"/>
        <v>2040</v>
      </c>
      <c r="BZ89">
        <v>2012.10835081353</v>
      </c>
      <c r="CD89">
        <v>2018.7595229506201</v>
      </c>
      <c r="CG89">
        <f t="shared" si="124"/>
        <v>262.40853161159305</v>
      </c>
      <c r="CH89">
        <f t="shared" si="125"/>
        <v>258.66901031374755</v>
      </c>
      <c r="CI89">
        <f t="shared" si="126"/>
        <v>101.52509500124953</v>
      </c>
      <c r="CJ89">
        <f t="shared" si="127"/>
        <v>160.17242567966866</v>
      </c>
      <c r="CK89">
        <f t="shared" si="128"/>
        <v>64.536464248439927</v>
      </c>
      <c r="CL89">
        <f t="shared" si="129"/>
        <v>64.457648430556659</v>
      </c>
      <c r="CM89">
        <f t="shared" si="130"/>
        <v>99.037279553835916</v>
      </c>
      <c r="CN89">
        <f t="shared" si="131"/>
        <v>58.524480172620279</v>
      </c>
      <c r="CO89">
        <f t="shared" si="132"/>
        <v>591.30929427238812</v>
      </c>
      <c r="CP89">
        <f t="shared" si="133"/>
        <v>409.99350312963804</v>
      </c>
      <c r="CQ89">
        <f t="shared" si="134"/>
        <v>148.23401643920926</v>
      </c>
      <c r="CR89">
        <f t="shared" si="135"/>
        <v>5.1862550809027992</v>
      </c>
      <c r="CS89">
        <f t="shared" si="136"/>
        <v>-50.365784670922658</v>
      </c>
      <c r="CT89">
        <f t="shared" si="137"/>
        <v>-23.031313744893197</v>
      </c>
      <c r="CU89">
        <f t="shared" si="138"/>
        <v>73.717350999999994</v>
      </c>
      <c r="CV89">
        <f t="shared" si="139"/>
        <v>69.446477184465934</v>
      </c>
      <c r="CW89">
        <f t="shared" si="140"/>
        <v>-4.0107875930771639</v>
      </c>
      <c r="CX89">
        <f t="shared" si="141"/>
        <v>-494.7845699240055</v>
      </c>
      <c r="CY89">
        <f t="shared" si="142"/>
        <v>7.669746</v>
      </c>
      <c r="CZ89">
        <f t="shared" si="143"/>
        <v>10.305899999999999</v>
      </c>
      <c r="DA89">
        <v>9010.7698764135803</v>
      </c>
      <c r="DB89">
        <f t="shared" si="145"/>
        <v>2364502.8919596635</v>
      </c>
      <c r="DC89">
        <f t="shared" si="146"/>
        <v>2330806.9260968301</v>
      </c>
      <c r="DD89">
        <f t="shared" si="147"/>
        <v>914819.26773728617</v>
      </c>
      <c r="DE89">
        <f t="shared" si="148"/>
        <v>1443276.8683464513</v>
      </c>
      <c r="DF89">
        <f t="shared" si="149"/>
        <v>581523.22798008448</v>
      </c>
      <c r="DG89">
        <f t="shared" si="150"/>
        <v>580813.03678251698</v>
      </c>
      <c r="DH89">
        <f t="shared" si="151"/>
        <v>892402.1352456552</v>
      </c>
      <c r="DI89">
        <f t="shared" si="152"/>
        <v>527350.62297221064</v>
      </c>
    </row>
    <row r="90" spans="1:113" x14ac:dyDescent="0.3">
      <c r="A90" s="1">
        <v>45895</v>
      </c>
      <c r="B90">
        <v>35</v>
      </c>
      <c r="C90">
        <v>1</v>
      </c>
      <c r="D90">
        <v>0.83495145631067902</v>
      </c>
      <c r="E90">
        <v>-0.88545602565320902</v>
      </c>
      <c r="F90">
        <v>-0.46472317204376901</v>
      </c>
      <c r="G90">
        <v>0.99978844591423399</v>
      </c>
      <c r="H90">
        <v>0.99597213074003199</v>
      </c>
      <c r="I90">
        <v>0.90287421580150495</v>
      </c>
      <c r="J90">
        <v>6.3322806948317906E-2</v>
      </c>
      <c r="K90">
        <v>49.111627105818201</v>
      </c>
      <c r="L90">
        <v>0.98644037281013697</v>
      </c>
      <c r="M90">
        <v>3.5266873414143198</v>
      </c>
      <c r="N90">
        <v>2.1505998786182099</v>
      </c>
      <c r="O90">
        <v>7.5684758859463601</v>
      </c>
      <c r="P90">
        <v>2.5881597318363201</v>
      </c>
      <c r="Q90">
        <v>2.0780808887016701E-2</v>
      </c>
      <c r="R90">
        <v>1.2596532275099199</v>
      </c>
      <c r="S90">
        <v>0.66649869160388597</v>
      </c>
      <c r="T90">
        <v>1.46597577388677</v>
      </c>
      <c r="U90">
        <v>23</v>
      </c>
      <c r="V90">
        <v>168</v>
      </c>
      <c r="W90">
        <v>1963</v>
      </c>
      <c r="X90">
        <v>8998.0960132281107</v>
      </c>
      <c r="Y90">
        <f t="shared" si="92"/>
        <v>17663262.473966781</v>
      </c>
      <c r="Z90">
        <f t="shared" si="144"/>
        <v>12.686860778556818</v>
      </c>
      <c r="AA90">
        <f t="shared" si="154"/>
        <v>8.7611357609390268</v>
      </c>
      <c r="AB90">
        <f t="shared" si="155"/>
        <v>9.0110198212114625</v>
      </c>
      <c r="AC90">
        <f t="shared" si="156"/>
        <v>3.8411045566074726</v>
      </c>
      <c r="AD90">
        <f t="shared" si="157"/>
        <v>0.75607788094238493</v>
      </c>
      <c r="AE90">
        <f t="shared" si="158"/>
        <v>2.0702747338821768</v>
      </c>
      <c r="AF90">
        <f t="shared" si="159"/>
        <v>4.5485226389856477</v>
      </c>
      <c r="AG90">
        <f t="shared" si="160"/>
        <v>2.9860630878372811</v>
      </c>
      <c r="AH90">
        <f t="shared" si="90"/>
        <v>14.752361412031716</v>
      </c>
      <c r="AI90">
        <f t="shared" si="153"/>
        <v>6.9687240579263854</v>
      </c>
      <c r="AJ90">
        <f t="shared" si="153"/>
        <v>4.6296050148216619</v>
      </c>
      <c r="AK90">
        <f t="shared" si="153"/>
        <v>3.6948385064954095</v>
      </c>
      <c r="AL90">
        <f t="shared" si="153"/>
        <v>2.5944664113759068</v>
      </c>
      <c r="AM90">
        <f t="shared" si="153"/>
        <v>2.3895751703221002</v>
      </c>
      <c r="AN90">
        <f t="shared" si="153"/>
        <v>6.5870344778956778</v>
      </c>
      <c r="AO90">
        <f t="shared" si="153"/>
        <v>3.6424813908642166</v>
      </c>
      <c r="AP90">
        <f t="shared" si="93"/>
        <v>0.4399566314383232</v>
      </c>
      <c r="AQ90">
        <f t="shared" si="94"/>
        <v>0.57943410311183585</v>
      </c>
      <c r="AR90">
        <f t="shared" si="95"/>
        <v>0.71075805029693917</v>
      </c>
      <c r="AS90">
        <f t="shared" si="96"/>
        <v>0.51212984539929129</v>
      </c>
      <c r="AT90">
        <f t="shared" si="97"/>
        <v>0.17635513029904293</v>
      </c>
      <c r="AU90">
        <f t="shared" si="98"/>
        <v>0.44641867738258795</v>
      </c>
      <c r="AV90">
        <f t="shared" si="99"/>
        <v>0.36460063060615805</v>
      </c>
      <c r="AW90">
        <f t="shared" si="100"/>
        <v>0.43333490488625642</v>
      </c>
      <c r="BC90">
        <f t="shared" si="101"/>
        <v>80.108659398627978</v>
      </c>
      <c r="BD90">
        <f t="shared" si="102"/>
        <v>72.099615295075822</v>
      </c>
      <c r="BE90">
        <f t="shared" si="103"/>
        <v>77.55848776560029</v>
      </c>
      <c r="BF90">
        <f t="shared" si="104"/>
        <v>37.012655868645261</v>
      </c>
      <c r="BG90">
        <f t="shared" si="105"/>
        <v>4.1240853555933636</v>
      </c>
      <c r="BH90">
        <f t="shared" si="106"/>
        <v>54.692468645955387</v>
      </c>
      <c r="BI90">
        <f t="shared" si="107"/>
        <v>33.674747951788973</v>
      </c>
      <c r="BJ90">
        <f t="shared" si="108"/>
        <v>43.515013613612687</v>
      </c>
      <c r="BK90">
        <f t="shared" si="109"/>
        <v>3.599349381808739</v>
      </c>
      <c r="BL90">
        <f t="shared" si="110"/>
        <v>-1.7576388298070793</v>
      </c>
      <c r="BM90">
        <f t="shared" si="111"/>
        <v>17.575732303459596</v>
      </c>
      <c r="BN90">
        <f t="shared" si="112"/>
        <v>0.1912683114259888</v>
      </c>
      <c r="BO90">
        <f t="shared" si="113"/>
        <v>-4.3216319425652321</v>
      </c>
      <c r="BP90">
        <f t="shared" si="114"/>
        <v>11.706699686387113</v>
      </c>
      <c r="BQ90">
        <f t="shared" si="115"/>
        <v>-12.446793</v>
      </c>
      <c r="BR90">
        <f t="shared" si="116"/>
        <v>105.25178215533973</v>
      </c>
      <c r="BS90">
        <f t="shared" si="117"/>
        <v>4.7975675170860628</v>
      </c>
      <c r="BT90">
        <f t="shared" si="118"/>
        <v>-1.013254781464235</v>
      </c>
      <c r="BU90">
        <f t="shared" si="119"/>
        <v>186.52368000000001</v>
      </c>
      <c r="BV90">
        <f t="shared" si="120"/>
        <v>-99.600326999999993</v>
      </c>
      <c r="BW90">
        <f t="shared" si="121"/>
        <v>402.78573389489975</v>
      </c>
      <c r="BX90">
        <f t="shared" si="122"/>
        <v>1610.7556798779008</v>
      </c>
      <c r="BY90">
        <f t="shared" si="123"/>
        <v>1963</v>
      </c>
      <c r="BZ90">
        <v>2013.54140155492</v>
      </c>
      <c r="CD90">
        <v>2009.5505102233601</v>
      </c>
      <c r="CG90">
        <f t="shared" si="124"/>
        <v>224.73383114599315</v>
      </c>
      <c r="CH90">
        <f t="shared" si="125"/>
        <v>211.03069417805187</v>
      </c>
      <c r="CI90">
        <f t="shared" si="126"/>
        <v>190.67992729201413</v>
      </c>
      <c r="CJ90">
        <f t="shared" si="127"/>
        <v>152.40900465853187</v>
      </c>
      <c r="CK90">
        <f t="shared" si="128"/>
        <v>26.198321574384497</v>
      </c>
      <c r="CL90">
        <f t="shared" si="129"/>
        <v>80.265429100632389</v>
      </c>
      <c r="CM90">
        <f t="shared" si="130"/>
        <v>82.851428737419425</v>
      </c>
      <c r="CN90">
        <f t="shared" si="131"/>
        <v>62.174848386254673</v>
      </c>
      <c r="CO90">
        <f t="shared" si="132"/>
        <v>590.47760361790677</v>
      </c>
      <c r="CP90">
        <f t="shared" si="133"/>
        <v>412.13326172439247</v>
      </c>
      <c r="CQ90">
        <f t="shared" si="134"/>
        <v>152.41276621669422</v>
      </c>
      <c r="CR90">
        <f t="shared" si="135"/>
        <v>27.785158003484273</v>
      </c>
      <c r="CS90">
        <f t="shared" si="136"/>
        <v>-54.189018001214585</v>
      </c>
      <c r="CT90">
        <f t="shared" si="137"/>
        <v>-18.841488125168699</v>
      </c>
      <c r="CU90">
        <f t="shared" si="138"/>
        <v>73.717350999999994</v>
      </c>
      <c r="CV90">
        <f t="shared" si="139"/>
        <v>70.263494563106747</v>
      </c>
      <c r="CW90">
        <f t="shared" si="140"/>
        <v>-1.9863688699219231</v>
      </c>
      <c r="CX90">
        <f t="shared" si="141"/>
        <v>-495.21092468075773</v>
      </c>
      <c r="CY90">
        <f t="shared" si="142"/>
        <v>7.4052720000000001</v>
      </c>
      <c r="CZ90">
        <f t="shared" si="143"/>
        <v>9.4814279999999993</v>
      </c>
      <c r="DA90">
        <v>8998.0960132281107</v>
      </c>
      <c r="DB90">
        <f t="shared" si="145"/>
        <v>2022176.5900722404</v>
      </c>
      <c r="DC90">
        <f t="shared" si="146"/>
        <v>1898874.4479522891</v>
      </c>
      <c r="DD90">
        <f t="shared" si="147"/>
        <v>1715756.2935688982</v>
      </c>
      <c r="DE90">
        <f t="shared" si="148"/>
        <v>1371390.8571980002</v>
      </c>
      <c r="DF90">
        <f t="shared" si="149"/>
        <v>235735.01291173714</v>
      </c>
      <c r="DG90">
        <f t="shared" si="150"/>
        <v>722236.03759044386</v>
      </c>
      <c r="DH90">
        <f t="shared" si="151"/>
        <v>745505.11061242665</v>
      </c>
      <c r="DI90">
        <f t="shared" si="152"/>
        <v>559455.25538742042</v>
      </c>
    </row>
    <row r="91" spans="1:113" x14ac:dyDescent="0.3">
      <c r="A91" s="1">
        <v>45902</v>
      </c>
      <c r="B91">
        <v>36</v>
      </c>
      <c r="C91">
        <v>1</v>
      </c>
      <c r="D91">
        <v>0.84466019417475702</v>
      </c>
      <c r="E91">
        <v>-0.93501624268541395</v>
      </c>
      <c r="F91">
        <v>-0.35460488704253501</v>
      </c>
      <c r="G91">
        <v>0.99982592827041705</v>
      </c>
      <c r="H91">
        <v>0.99543357310018399</v>
      </c>
      <c r="I91">
        <v>0.90846415333993802</v>
      </c>
      <c r="J91">
        <v>6.5243248849209901E-2</v>
      </c>
      <c r="K91">
        <v>109.92163612842801</v>
      </c>
      <c r="L91">
        <v>0.98561604387844204</v>
      </c>
      <c r="M91">
        <v>10.522384041781001</v>
      </c>
      <c r="N91">
        <v>2.7218880510237602</v>
      </c>
      <c r="O91">
        <v>1.55844661147437</v>
      </c>
      <c r="P91">
        <v>1.86936763714562</v>
      </c>
      <c r="Q91">
        <v>1.06719797972556</v>
      </c>
      <c r="R91">
        <v>1.0857690831022999</v>
      </c>
      <c r="S91">
        <v>1.5954796980938499</v>
      </c>
      <c r="T91">
        <v>0.12575726943423399</v>
      </c>
      <c r="U91">
        <v>20</v>
      </c>
      <c r="V91">
        <v>150</v>
      </c>
      <c r="W91">
        <v>2030</v>
      </c>
      <c r="X91">
        <v>8998.4333544337496</v>
      </c>
      <c r="Y91">
        <f t="shared" si="92"/>
        <v>18266819.70950051</v>
      </c>
      <c r="Z91">
        <f t="shared" si="144"/>
        <v>18.134500508915092</v>
      </c>
      <c r="AA91">
        <f t="shared" si="154"/>
        <v>7.1024559314932736</v>
      </c>
      <c r="AB91">
        <f t="shared" si="155"/>
        <v>5.6134055310195281</v>
      </c>
      <c r="AC91">
        <f t="shared" si="156"/>
        <v>3.0216990041278615</v>
      </c>
      <c r="AD91">
        <f t="shared" si="157"/>
        <v>1.3318252380553948</v>
      </c>
      <c r="AE91">
        <f t="shared" si="158"/>
        <v>2.1209064500433881</v>
      </c>
      <c r="AF91">
        <f t="shared" si="159"/>
        <v>4.779445545383803</v>
      </c>
      <c r="AG91">
        <f t="shared" si="160"/>
        <v>1.7680919677447386</v>
      </c>
      <c r="AH91">
        <f t="shared" si="90"/>
        <v>14.752361412031716</v>
      </c>
      <c r="AI91">
        <f t="shared" si="153"/>
        <v>6.9687240579263854</v>
      </c>
      <c r="AJ91">
        <f t="shared" si="153"/>
        <v>4.6296050148216619</v>
      </c>
      <c r="AK91">
        <f t="shared" si="153"/>
        <v>3.6948385064954095</v>
      </c>
      <c r="AL91">
        <f t="shared" si="153"/>
        <v>2.5944664113759068</v>
      </c>
      <c r="AM91">
        <f t="shared" si="153"/>
        <v>2.3895751703221002</v>
      </c>
      <c r="AN91">
        <f t="shared" si="153"/>
        <v>6.5870344778956778</v>
      </c>
      <c r="AO91">
        <f t="shared" si="153"/>
        <v>3.6424813908642166</v>
      </c>
      <c r="AP91">
        <f t="shared" si="93"/>
        <v>0.58182285695130054</v>
      </c>
      <c r="AQ91">
        <f t="shared" si="94"/>
        <v>0.50665257681563469</v>
      </c>
      <c r="AR91">
        <f t="shared" si="95"/>
        <v>0.56466729881577882</v>
      </c>
      <c r="AS91">
        <f t="shared" si="96"/>
        <v>0.43747968275215637</v>
      </c>
      <c r="AT91">
        <f t="shared" si="97"/>
        <v>0.30289746902748554</v>
      </c>
      <c r="AU91">
        <f t="shared" si="98"/>
        <v>0.45539191064589724</v>
      </c>
      <c r="AV91">
        <f t="shared" si="99"/>
        <v>0.38197634562089511</v>
      </c>
      <c r="AW91">
        <f t="shared" si="100"/>
        <v>0.27373954234949643</v>
      </c>
      <c r="BC91">
        <f t="shared" si="101"/>
        <v>105.94009897173792</v>
      </c>
      <c r="BD91">
        <f t="shared" si="102"/>
        <v>63.043330864520428</v>
      </c>
      <c r="BE91">
        <f t="shared" si="103"/>
        <v>61.616947945284139</v>
      </c>
      <c r="BF91">
        <f t="shared" si="104"/>
        <v>31.617538194059087</v>
      </c>
      <c r="BG91">
        <f t="shared" si="105"/>
        <v>7.0832927522116256</v>
      </c>
      <c r="BH91">
        <f t="shared" si="106"/>
        <v>55.791813955125306</v>
      </c>
      <c r="BI91">
        <f t="shared" si="107"/>
        <v>35.279580128383415</v>
      </c>
      <c r="BJ91">
        <f t="shared" si="108"/>
        <v>27.488623181760762</v>
      </c>
      <c r="BK91">
        <f t="shared" si="109"/>
        <v>3.5994843224515396</v>
      </c>
      <c r="BL91">
        <f t="shared" si="110"/>
        <v>-1.7566884118278305</v>
      </c>
      <c r="BM91">
        <f t="shared" si="111"/>
        <v>17.684548397716249</v>
      </c>
      <c r="BN91">
        <f t="shared" si="112"/>
        <v>0.19706905996000629</v>
      </c>
      <c r="BO91">
        <f t="shared" si="113"/>
        <v>-4.563519750431059</v>
      </c>
      <c r="BP91">
        <f t="shared" si="114"/>
        <v>8.9327435549979519</v>
      </c>
      <c r="BQ91">
        <f t="shared" si="115"/>
        <v>-12.446793</v>
      </c>
      <c r="BR91">
        <f t="shared" si="116"/>
        <v>106.47564008737861</v>
      </c>
      <c r="BS91">
        <f t="shared" si="117"/>
        <v>10.737914868477747</v>
      </c>
      <c r="BT91">
        <f t="shared" si="118"/>
        <v>-1.0124080447991897</v>
      </c>
      <c r="BU91">
        <f t="shared" si="119"/>
        <v>166.53900000000002</v>
      </c>
      <c r="BV91">
        <f t="shared" si="120"/>
        <v>-86.608980000000003</v>
      </c>
      <c r="BW91">
        <f t="shared" si="121"/>
        <v>387.86122599308266</v>
      </c>
      <c r="BX91">
        <f t="shared" si="122"/>
        <v>1608.027257160154</v>
      </c>
      <c r="BY91">
        <f t="shared" si="123"/>
        <v>2030</v>
      </c>
      <c r="BZ91">
        <v>1995.8884589408301</v>
      </c>
      <c r="CD91">
        <v>1995.32121066743</v>
      </c>
      <c r="CG91">
        <f t="shared" si="124"/>
        <v>297.20038373669399</v>
      </c>
      <c r="CH91">
        <f t="shared" si="125"/>
        <v>184.5235625902844</v>
      </c>
      <c r="CI91">
        <f t="shared" si="126"/>
        <v>151.48716140096937</v>
      </c>
      <c r="CJ91">
        <f t="shared" si="127"/>
        <v>130.19323830776042</v>
      </c>
      <c r="CK91">
        <f t="shared" si="128"/>
        <v>44.996736325125781</v>
      </c>
      <c r="CL91">
        <f t="shared" si="129"/>
        <v>81.878803394294238</v>
      </c>
      <c r="CM91">
        <f t="shared" si="130"/>
        <v>86.799866270047431</v>
      </c>
      <c r="CN91">
        <f t="shared" si="131"/>
        <v>39.276121888611968</v>
      </c>
      <c r="CO91">
        <f t="shared" si="132"/>
        <v>590.49974079297351</v>
      </c>
      <c r="CP91">
        <f t="shared" si="133"/>
        <v>411.91040657625473</v>
      </c>
      <c r="CQ91">
        <f t="shared" si="134"/>
        <v>153.35639471809603</v>
      </c>
      <c r="CR91">
        <f t="shared" si="135"/>
        <v>28.627820927386974</v>
      </c>
      <c r="CS91">
        <f t="shared" si="136"/>
        <v>-57.222053426007193</v>
      </c>
      <c r="CT91">
        <f t="shared" si="137"/>
        <v>-14.376911181242859</v>
      </c>
      <c r="CU91">
        <f t="shared" si="138"/>
        <v>73.717350999999994</v>
      </c>
      <c r="CV91">
        <f t="shared" si="139"/>
        <v>71.080511941747545</v>
      </c>
      <c r="CW91">
        <f t="shared" si="140"/>
        <v>-4.4458904948503992</v>
      </c>
      <c r="CX91">
        <f t="shared" si="141"/>
        <v>-494.79709663422022</v>
      </c>
      <c r="CY91">
        <f t="shared" si="142"/>
        <v>6.6118500000000004</v>
      </c>
      <c r="CZ91">
        <f t="shared" si="143"/>
        <v>8.2447199999999992</v>
      </c>
      <c r="DA91">
        <v>8998.4333544337496</v>
      </c>
      <c r="DB91">
        <f t="shared" si="145"/>
        <v>2674337.8459667768</v>
      </c>
      <c r="DC91">
        <f t="shared" si="146"/>
        <v>1660422.9802913589</v>
      </c>
      <c r="DD91">
        <f t="shared" si="147"/>
        <v>1363147.1259189716</v>
      </c>
      <c r="DE91">
        <f t="shared" si="148"/>
        <v>1171535.1781102931</v>
      </c>
      <c r="DF91">
        <f t="shared" si="149"/>
        <v>404900.13298867253</v>
      </c>
      <c r="DG91">
        <f t="shared" si="150"/>
        <v>736780.95548434055</v>
      </c>
      <c r="DH91">
        <f t="shared" si="151"/>
        <v>781062.81180478376</v>
      </c>
      <c r="DI91">
        <f t="shared" si="152"/>
        <v>353423.56523529143</v>
      </c>
    </row>
    <row r="92" spans="1:113" x14ac:dyDescent="0.3">
      <c r="A92" s="1">
        <v>45909</v>
      </c>
      <c r="B92">
        <v>37</v>
      </c>
      <c r="C92">
        <v>1</v>
      </c>
      <c r="D92">
        <v>0.85436893203883402</v>
      </c>
      <c r="E92">
        <v>-0.97094181742605201</v>
      </c>
      <c r="F92">
        <v>-0.23931566428755699</v>
      </c>
      <c r="G92">
        <v>1.0012681682471301</v>
      </c>
      <c r="H92">
        <v>0.994284011136776</v>
      </c>
      <c r="I92">
        <v>0.91111527970269601</v>
      </c>
      <c r="J92">
        <v>0.103935236959771</v>
      </c>
      <c r="K92">
        <v>84.925326554644201</v>
      </c>
      <c r="L92">
        <v>0.98393189123003599</v>
      </c>
      <c r="M92">
        <v>1.86296440172421</v>
      </c>
      <c r="N92">
        <v>6.5910753458751703</v>
      </c>
      <c r="O92">
        <v>3.89731228089944</v>
      </c>
      <c r="P92">
        <v>1.9969478732397099</v>
      </c>
      <c r="Q92">
        <v>1.9287174202888799</v>
      </c>
      <c r="R92">
        <v>1.18872701425581</v>
      </c>
      <c r="S92">
        <v>1.9606546323721099</v>
      </c>
      <c r="T92">
        <v>3.43994928120238</v>
      </c>
      <c r="U92">
        <v>27</v>
      </c>
      <c r="V92">
        <v>160</v>
      </c>
      <c r="W92">
        <v>2114</v>
      </c>
      <c r="X92">
        <v>9011.4135142242103</v>
      </c>
      <c r="Y92">
        <f t="shared" si="92"/>
        <v>19050128.169069979</v>
      </c>
      <c r="Z92">
        <f t="shared" si="144"/>
        <v>12.743664707073265</v>
      </c>
      <c r="AA92">
        <f t="shared" si="154"/>
        <v>10.142303311621808</v>
      </c>
      <c r="AB92">
        <f t="shared" si="155"/>
        <v>6.4233447698582271</v>
      </c>
      <c r="AC92">
        <f t="shared" si="156"/>
        <v>2.9034575744780682</v>
      </c>
      <c r="AD92">
        <f t="shared" si="157"/>
        <v>2.394856253608268</v>
      </c>
      <c r="AE92">
        <f t="shared" si="158"/>
        <v>2.249180239277504</v>
      </c>
      <c r="AF92">
        <f t="shared" si="159"/>
        <v>5.3062665141407717</v>
      </c>
      <c r="AG92">
        <f t="shared" si="160"/>
        <v>4.4123998634619861</v>
      </c>
      <c r="AH92">
        <f t="shared" si="90"/>
        <v>14.752361412031716</v>
      </c>
      <c r="AI92">
        <f t="shared" si="153"/>
        <v>6.9687240579263854</v>
      </c>
      <c r="AJ92">
        <f t="shared" si="153"/>
        <v>4.6296050148216619</v>
      </c>
      <c r="AK92">
        <f t="shared" si="153"/>
        <v>3.6948385064954095</v>
      </c>
      <c r="AL92">
        <f t="shared" si="153"/>
        <v>2.5944664113759068</v>
      </c>
      <c r="AM92">
        <f t="shared" si="153"/>
        <v>2.3895751703221002</v>
      </c>
      <c r="AN92">
        <f t="shared" si="153"/>
        <v>6.5870344778956778</v>
      </c>
      <c r="AO92">
        <f t="shared" si="153"/>
        <v>3.6424813908642166</v>
      </c>
      <c r="AP92">
        <f t="shared" si="93"/>
        <v>0.44171856629016915</v>
      </c>
      <c r="AQ92">
        <f t="shared" si="94"/>
        <v>0.62840870274890348</v>
      </c>
      <c r="AR92">
        <f t="shared" si="95"/>
        <v>0.6087547834892858</v>
      </c>
      <c r="AS92">
        <f t="shared" si="96"/>
        <v>0.42524138212325269</v>
      </c>
      <c r="AT92">
        <f t="shared" si="97"/>
        <v>0.47500283754001132</v>
      </c>
      <c r="AU92">
        <f t="shared" si="98"/>
        <v>0.47730942643658841</v>
      </c>
      <c r="AV92">
        <f t="shared" si="99"/>
        <v>0.4196227716459725</v>
      </c>
      <c r="AW92">
        <f t="shared" si="100"/>
        <v>0.56435783614127788</v>
      </c>
      <c r="BC92">
        <f t="shared" si="101"/>
        <v>80.429477926735302</v>
      </c>
      <c r="BD92">
        <f t="shared" si="102"/>
        <v>78.193577963305955</v>
      </c>
      <c r="BE92">
        <f t="shared" si="103"/>
        <v>66.42780958693244</v>
      </c>
      <c r="BF92">
        <f t="shared" si="104"/>
        <v>30.733051547432449</v>
      </c>
      <c r="BG92">
        <f t="shared" si="105"/>
        <v>11.107996931205157</v>
      </c>
      <c r="BH92">
        <f t="shared" si="106"/>
        <v>58.477013087491095</v>
      </c>
      <c r="BI92">
        <f t="shared" si="107"/>
        <v>38.756628167418647</v>
      </c>
      <c r="BJ92">
        <f t="shared" si="108"/>
        <v>56.672191982971697</v>
      </c>
      <c r="BK92">
        <f t="shared" si="109"/>
        <v>3.6046765464563437</v>
      </c>
      <c r="BL92">
        <f t="shared" si="110"/>
        <v>-1.7546597258015921</v>
      </c>
      <c r="BM92">
        <f t="shared" si="111"/>
        <v>17.736156347571274</v>
      </c>
      <c r="BN92">
        <f t="shared" si="112"/>
        <v>0.3139392934236232</v>
      </c>
      <c r="BO92">
        <f t="shared" si="113"/>
        <v>-4.7388611641840708</v>
      </c>
      <c r="BP92">
        <f t="shared" si="114"/>
        <v>6.0285279077902407</v>
      </c>
      <c r="BQ92">
        <f t="shared" si="115"/>
        <v>-12.446793</v>
      </c>
      <c r="BR92">
        <f t="shared" si="116"/>
        <v>107.69949801941736</v>
      </c>
      <c r="BS92">
        <f t="shared" si="117"/>
        <v>8.2961003751435278</v>
      </c>
      <c r="BT92">
        <f t="shared" si="118"/>
        <v>-1.010678111829342</v>
      </c>
      <c r="BU92">
        <f t="shared" si="119"/>
        <v>177.64160000000001</v>
      </c>
      <c r="BV92">
        <f t="shared" si="120"/>
        <v>-116.922123</v>
      </c>
      <c r="BW92">
        <f t="shared" si="121"/>
        <v>420.79774719349274</v>
      </c>
      <c r="BX92">
        <f t="shared" si="122"/>
        <v>1584.6966295642173</v>
      </c>
      <c r="BY92">
        <f t="shared" si="123"/>
        <v>2114</v>
      </c>
      <c r="BZ92">
        <v>2005.4943565590499</v>
      </c>
      <c r="CD92">
        <v>2082.3210110830901</v>
      </c>
      <c r="CG92">
        <f t="shared" si="124"/>
        <v>225.63384342263615</v>
      </c>
      <c r="CH92">
        <f t="shared" si="125"/>
        <v>228.8673104610734</v>
      </c>
      <c r="CI92">
        <f t="shared" si="126"/>
        <v>163.31481269316367</v>
      </c>
      <c r="CJ92">
        <f t="shared" si="127"/>
        <v>126.55114005022023</v>
      </c>
      <c r="CK92">
        <f t="shared" si="128"/>
        <v>70.56373730390915</v>
      </c>
      <c r="CL92">
        <f t="shared" si="129"/>
        <v>85.819540865392554</v>
      </c>
      <c r="CM92">
        <f t="shared" si="130"/>
        <v>95.354596901888939</v>
      </c>
      <c r="CN92">
        <f t="shared" si="131"/>
        <v>80.974005329409096</v>
      </c>
      <c r="CO92">
        <f t="shared" si="132"/>
        <v>591.35153139804765</v>
      </c>
      <c r="CP92">
        <f t="shared" si="133"/>
        <v>411.43471784269389</v>
      </c>
      <c r="CQ92">
        <f t="shared" si="134"/>
        <v>153.80392716000907</v>
      </c>
      <c r="CR92">
        <f t="shared" si="135"/>
        <v>45.605321687868233</v>
      </c>
      <c r="CS92">
        <f t="shared" si="136"/>
        <v>-59.420662459006053</v>
      </c>
      <c r="CT92">
        <f t="shared" si="137"/>
        <v>-9.7026864983099816</v>
      </c>
      <c r="CU92">
        <f t="shared" si="138"/>
        <v>73.717350999999994</v>
      </c>
      <c r="CV92">
        <f t="shared" si="139"/>
        <v>71.897529320388273</v>
      </c>
      <c r="CW92">
        <f t="shared" si="140"/>
        <v>-3.4348897578291395</v>
      </c>
      <c r="CX92">
        <f t="shared" si="141"/>
        <v>-493.95162151650499</v>
      </c>
      <c r="CY92">
        <f t="shared" si="142"/>
        <v>7.0526400000000002</v>
      </c>
      <c r="CZ92">
        <f t="shared" si="143"/>
        <v>11.130371999999999</v>
      </c>
      <c r="DA92">
        <v>9011.4135142242103</v>
      </c>
      <c r="DB92">
        <f t="shared" si="145"/>
        <v>2033279.8658850929</v>
      </c>
      <c r="DC92">
        <f t="shared" si="146"/>
        <v>2062417.9744530648</v>
      </c>
      <c r="DD92">
        <f t="shared" si="147"/>
        <v>1471697.3101761707</v>
      </c>
      <c r="DE92">
        <f t="shared" si="148"/>
        <v>1140404.6536890352</v>
      </c>
      <c r="DF92">
        <f t="shared" si="149"/>
        <v>635879.01595461392</v>
      </c>
      <c r="DG92">
        <f t="shared" si="150"/>
        <v>773355.37033891538</v>
      </c>
      <c r="DH92">
        <f t="shared" si="151"/>
        <v>859279.70316508401</v>
      </c>
      <c r="DI92">
        <f t="shared" si="152"/>
        <v>729690.2459263003</v>
      </c>
    </row>
    <row r="93" spans="1:113" x14ac:dyDescent="0.3">
      <c r="A93" s="1">
        <v>45916</v>
      </c>
      <c r="B93">
        <v>38</v>
      </c>
      <c r="C93">
        <v>1</v>
      </c>
      <c r="D93">
        <v>0.86407766990291202</v>
      </c>
      <c r="E93">
        <v>-0.99270887409805397</v>
      </c>
      <c r="F93">
        <v>-0.12053668025532301</v>
      </c>
      <c r="G93">
        <v>1.00260776177522</v>
      </c>
      <c r="H93">
        <v>0.99866834401350302</v>
      </c>
      <c r="I93">
        <v>0.90589250467222404</v>
      </c>
      <c r="J93">
        <v>1.8491170241343599E-2</v>
      </c>
      <c r="K93">
        <v>92.456139195060402</v>
      </c>
      <c r="L93">
        <v>0.982155698732188</v>
      </c>
      <c r="M93">
        <v>7.9028256569567903</v>
      </c>
      <c r="N93">
        <v>0.72297539511326703</v>
      </c>
      <c r="O93">
        <v>2.9399474110826</v>
      </c>
      <c r="P93">
        <v>2.9932508379870799</v>
      </c>
      <c r="Q93">
        <v>0.40984745180688098</v>
      </c>
      <c r="R93">
        <v>0.77296036666946299</v>
      </c>
      <c r="S93">
        <v>2.3756065722964999</v>
      </c>
      <c r="T93">
        <v>1.5517040468718899</v>
      </c>
      <c r="U93">
        <v>22</v>
      </c>
      <c r="V93">
        <v>145</v>
      </c>
      <c r="W93">
        <v>1994</v>
      </c>
      <c r="X93">
        <v>9023.4698559770204</v>
      </c>
      <c r="Y93">
        <f t="shared" si="92"/>
        <v>17992798.892818179</v>
      </c>
      <c r="Z93">
        <f t="shared" si="144"/>
        <v>15.54902448120075</v>
      </c>
      <c r="AA93">
        <f t="shared" si="154"/>
        <v>5.7941270509241711</v>
      </c>
      <c r="AB93">
        <f t="shared" si="155"/>
        <v>5.830452557518802</v>
      </c>
      <c r="AC93">
        <f t="shared" si="156"/>
        <v>3.8642881103305005</v>
      </c>
      <c r="AD93">
        <f t="shared" si="157"/>
        <v>1.2480471405697746</v>
      </c>
      <c r="AE93">
        <f t="shared" si="158"/>
        <v>1.8975504863082149</v>
      </c>
      <c r="AF93">
        <f t="shared" si="159"/>
        <v>6.0899931321950396</v>
      </c>
      <c r="AG93">
        <f t="shared" si="160"/>
        <v>3.9785239717759824</v>
      </c>
      <c r="AH93">
        <f t="shared" si="90"/>
        <v>14.752361412031716</v>
      </c>
      <c r="AI93">
        <f t="shared" si="153"/>
        <v>6.9687240579263854</v>
      </c>
      <c r="AJ93">
        <f t="shared" si="153"/>
        <v>4.6296050148216619</v>
      </c>
      <c r="AK93">
        <f t="shared" si="153"/>
        <v>3.6948385064954095</v>
      </c>
      <c r="AL93">
        <f t="shared" si="153"/>
        <v>2.5944664113759068</v>
      </c>
      <c r="AM93">
        <f t="shared" si="153"/>
        <v>2.3895751703221002</v>
      </c>
      <c r="AN93">
        <f t="shared" si="153"/>
        <v>6.5870344778956778</v>
      </c>
      <c r="AO93">
        <f t="shared" si="153"/>
        <v>3.6424813908642166</v>
      </c>
      <c r="AP93">
        <f t="shared" si="93"/>
        <v>0.52102548846912733</v>
      </c>
      <c r="AQ93">
        <f t="shared" si="94"/>
        <v>0.43575159443974171</v>
      </c>
      <c r="AR93">
        <f t="shared" si="95"/>
        <v>0.57721258499990613</v>
      </c>
      <c r="AS93">
        <f t="shared" si="96"/>
        <v>0.51400902902112244</v>
      </c>
      <c r="AT93">
        <f t="shared" si="97"/>
        <v>0.28602861231111476</v>
      </c>
      <c r="AU93">
        <f t="shared" si="98"/>
        <v>0.41439457167027854</v>
      </c>
      <c r="AV93">
        <f t="shared" si="99"/>
        <v>0.47061280028126834</v>
      </c>
      <c r="AW93">
        <f t="shared" si="100"/>
        <v>0.52974776260712608</v>
      </c>
      <c r="BC93">
        <f t="shared" si="101"/>
        <v>94.869926741014154</v>
      </c>
      <c r="BD93">
        <f t="shared" si="102"/>
        <v>54.221044558120219</v>
      </c>
      <c r="BE93">
        <f t="shared" si="103"/>
        <v>62.985899622470342</v>
      </c>
      <c r="BF93">
        <f t="shared" si="104"/>
        <v>37.148468255549993</v>
      </c>
      <c r="BG93">
        <f t="shared" si="105"/>
        <v>6.6888125642430598</v>
      </c>
      <c r="BH93">
        <f t="shared" si="106"/>
        <v>50.769072322453901</v>
      </c>
      <c r="BI93">
        <f t="shared" si="107"/>
        <v>43.466099896782922</v>
      </c>
      <c r="BJ93">
        <f t="shared" si="108"/>
        <v>53.196686538973211</v>
      </c>
      <c r="BK93">
        <f t="shared" si="109"/>
        <v>3.6094992318523493</v>
      </c>
      <c r="BL93">
        <f t="shared" si="110"/>
        <v>-1.7623969640927974</v>
      </c>
      <c r="BM93">
        <f t="shared" si="111"/>
        <v>17.634487594371492</v>
      </c>
      <c r="BN93">
        <f t="shared" si="112"/>
        <v>5.5853097466745098E-2</v>
      </c>
      <c r="BO93">
        <f t="shared" si="113"/>
        <v>-4.8450993111772602</v>
      </c>
      <c r="BP93">
        <f t="shared" si="114"/>
        <v>3.0364027486243641</v>
      </c>
      <c r="BQ93">
        <f t="shared" si="115"/>
        <v>-12.446793</v>
      </c>
      <c r="BR93">
        <f t="shared" si="116"/>
        <v>108.92335595145623</v>
      </c>
      <c r="BS93">
        <f t="shared" si="117"/>
        <v>9.0317628695478653</v>
      </c>
      <c r="BT93">
        <f t="shared" si="118"/>
        <v>-1.008853637090825</v>
      </c>
      <c r="BU93">
        <f t="shared" si="119"/>
        <v>160.98769999999999</v>
      </c>
      <c r="BV93">
        <f t="shared" si="120"/>
        <v>-95.269877999999991</v>
      </c>
      <c r="BW93">
        <f t="shared" si="121"/>
        <v>403.34601049960781</v>
      </c>
      <c r="BX93">
        <f t="shared" si="122"/>
        <v>1588.1952866571883</v>
      </c>
      <c r="BY93">
        <f t="shared" si="123"/>
        <v>1994</v>
      </c>
      <c r="BZ93">
        <v>1991.54127612097</v>
      </c>
      <c r="CD93">
        <v>2004.25433670543</v>
      </c>
      <c r="CG93">
        <f t="shared" si="124"/>
        <v>266.14453739582831</v>
      </c>
      <c r="CH93">
        <f t="shared" si="125"/>
        <v>158.70132767463832</v>
      </c>
      <c r="CI93">
        <f t="shared" si="126"/>
        <v>154.85277119806912</v>
      </c>
      <c r="CJ93">
        <f t="shared" si="127"/>
        <v>152.96824663192359</v>
      </c>
      <c r="CK93">
        <f t="shared" si="128"/>
        <v>42.490794297251043</v>
      </c>
      <c r="CL93">
        <f t="shared" si="129"/>
        <v>74.507541456608863</v>
      </c>
      <c r="CM93">
        <f t="shared" si="130"/>
        <v>106.9415124724207</v>
      </c>
      <c r="CN93">
        <f t="shared" si="131"/>
        <v>76.008155474346424</v>
      </c>
      <c r="CO93">
        <f t="shared" si="132"/>
        <v>592.14269874902186</v>
      </c>
      <c r="CP93">
        <f t="shared" si="133"/>
        <v>413.24895476077751</v>
      </c>
      <c r="CQ93">
        <f t="shared" si="134"/>
        <v>152.92227877999073</v>
      </c>
      <c r="CR93">
        <f t="shared" si="135"/>
        <v>8.1136657009596806</v>
      </c>
      <c r="CS93">
        <f t="shared" si="136"/>
        <v>-60.752784429673561</v>
      </c>
      <c r="CT93">
        <f t="shared" si="137"/>
        <v>-4.8869747976845597</v>
      </c>
      <c r="CU93">
        <f t="shared" si="138"/>
        <v>73.717350999999994</v>
      </c>
      <c r="CV93">
        <f t="shared" si="139"/>
        <v>72.714546699029071</v>
      </c>
      <c r="CW93">
        <f t="shared" si="140"/>
        <v>-3.7394810058834134</v>
      </c>
      <c r="CX93">
        <f t="shared" si="141"/>
        <v>-493.05994072817253</v>
      </c>
      <c r="CY93">
        <f t="shared" si="142"/>
        <v>6.3914549999999997</v>
      </c>
      <c r="CZ93">
        <f t="shared" si="143"/>
        <v>9.0691919999999993</v>
      </c>
      <c r="DA93">
        <v>9023.4698559770204</v>
      </c>
      <c r="DB93">
        <f t="shared" si="145"/>
        <v>2401547.2105242056</v>
      </c>
      <c r="DC93">
        <f t="shared" si="146"/>
        <v>1432036.6463756305</v>
      </c>
      <c r="DD93">
        <f t="shared" si="147"/>
        <v>1397309.3130202834</v>
      </c>
      <c r="DE93">
        <f t="shared" si="148"/>
        <v>1380304.362404821</v>
      </c>
      <c r="DF93">
        <f t="shared" si="149"/>
        <v>383414.40149776509</v>
      </c>
      <c r="DG93">
        <f t="shared" si="150"/>
        <v>672316.5543766683</v>
      </c>
      <c r="DH93">
        <f t="shared" si="151"/>
        <v>964983.51414747874</v>
      </c>
      <c r="DI93">
        <f t="shared" si="152"/>
        <v>685857.29973117972</v>
      </c>
    </row>
    <row r="94" spans="1:113" x14ac:dyDescent="0.3">
      <c r="A94" s="1">
        <v>45923</v>
      </c>
      <c r="B94">
        <v>39</v>
      </c>
      <c r="C94">
        <v>1</v>
      </c>
      <c r="D94">
        <v>0.87378640776699001</v>
      </c>
      <c r="E94">
        <v>-1</v>
      </c>
      <c r="F94" s="2">
        <v>-1.8369701987210201E-16</v>
      </c>
      <c r="G94">
        <v>1.0046039171021399</v>
      </c>
      <c r="H94">
        <v>0.995347206967372</v>
      </c>
      <c r="I94">
        <v>0.89350074334026197</v>
      </c>
      <c r="J94">
        <v>9.7503718040369298E-3</v>
      </c>
      <c r="K94">
        <v>75.100304227141095</v>
      </c>
      <c r="L94">
        <v>0.98228545704506998</v>
      </c>
      <c r="M94">
        <v>7.0656107323235604</v>
      </c>
      <c r="N94">
        <v>1.2799316049265099</v>
      </c>
      <c r="O94">
        <v>5.00690505026237</v>
      </c>
      <c r="P94">
        <v>3.65142679518494</v>
      </c>
      <c r="Q94">
        <v>3.2058732429705699</v>
      </c>
      <c r="R94">
        <v>0.787717054275759</v>
      </c>
      <c r="S94">
        <v>1.7057058472240001</v>
      </c>
      <c r="T94">
        <v>1.0629924930151899</v>
      </c>
      <c r="U94">
        <v>24</v>
      </c>
      <c r="V94">
        <v>157</v>
      </c>
      <c r="W94">
        <v>2048</v>
      </c>
      <c r="X94">
        <v>9041.4352539192896</v>
      </c>
      <c r="Y94">
        <f t="shared" si="92"/>
        <v>18516859.400026705</v>
      </c>
      <c r="Z94">
        <f t="shared" si="144"/>
        <v>16.395025421044011</v>
      </c>
      <c r="AA94">
        <f t="shared" si="154"/>
        <v>4.1769951303885957</v>
      </c>
      <c r="AB94">
        <f t="shared" si="155"/>
        <v>7.6306087011458308</v>
      </c>
      <c r="AC94">
        <f t="shared" si="156"/>
        <v>4.8107132282840901</v>
      </c>
      <c r="AD94">
        <f t="shared" si="157"/>
        <v>3.6426897421699911</v>
      </c>
      <c r="AE94">
        <f t="shared" si="158"/>
        <v>1.7364922974298664</v>
      </c>
      <c r="AF94">
        <f t="shared" si="159"/>
        <v>5.9687010397605276</v>
      </c>
      <c r="AG94">
        <f t="shared" si="160"/>
        <v>3.2511806774919805</v>
      </c>
      <c r="AH94">
        <f t="shared" si="90"/>
        <v>14.752361412031716</v>
      </c>
      <c r="AI94">
        <f t="shared" si="153"/>
        <v>6.9687240579263854</v>
      </c>
      <c r="AJ94">
        <f t="shared" si="153"/>
        <v>4.6296050148216619</v>
      </c>
      <c r="AK94">
        <f t="shared" si="153"/>
        <v>3.6948385064954095</v>
      </c>
      <c r="AL94">
        <f t="shared" si="153"/>
        <v>2.5944664113759068</v>
      </c>
      <c r="AM94">
        <f t="shared" si="153"/>
        <v>2.3895751703221002</v>
      </c>
      <c r="AN94">
        <f t="shared" si="153"/>
        <v>6.5870344778956778</v>
      </c>
      <c r="AO94">
        <f t="shared" si="153"/>
        <v>3.6424813908642166</v>
      </c>
      <c r="AP94">
        <f t="shared" si="93"/>
        <v>0.54212978855110572</v>
      </c>
      <c r="AQ94">
        <f t="shared" si="94"/>
        <v>0.32814740808838638</v>
      </c>
      <c r="AR94">
        <f t="shared" si="95"/>
        <v>0.66253010404131107</v>
      </c>
      <c r="AS94">
        <f t="shared" si="96"/>
        <v>0.58173154919012038</v>
      </c>
      <c r="AT94">
        <f t="shared" si="97"/>
        <v>0.60448229869462544</v>
      </c>
      <c r="AU94">
        <f t="shared" si="98"/>
        <v>0.38251836559782704</v>
      </c>
      <c r="AV94">
        <f t="shared" si="99"/>
        <v>0.46310197960979205</v>
      </c>
      <c r="AW94">
        <f t="shared" si="100"/>
        <v>0.46171922025848772</v>
      </c>
      <c r="BC94">
        <f t="shared" si="101"/>
        <v>98.712662743393636</v>
      </c>
      <c r="BD94">
        <f t="shared" si="102"/>
        <v>40.831738684670512</v>
      </c>
      <c r="BE94">
        <f t="shared" si="103"/>
        <v>72.295815639601201</v>
      </c>
      <c r="BF94">
        <f t="shared" si="104"/>
        <v>42.042911249041616</v>
      </c>
      <c r="BG94">
        <f t="shared" si="105"/>
        <v>14.135889279402765</v>
      </c>
      <c r="BH94">
        <f t="shared" si="106"/>
        <v>46.863795752505517</v>
      </c>
      <c r="BI94">
        <f t="shared" si="107"/>
        <v>42.772395685129325</v>
      </c>
      <c r="BJ94">
        <f t="shared" si="108"/>
        <v>46.365335283776609</v>
      </c>
      <c r="BK94">
        <f t="shared" si="109"/>
        <v>3.616685612602502</v>
      </c>
      <c r="BL94">
        <f t="shared" si="110"/>
        <v>-1.7565359974540489</v>
      </c>
      <c r="BM94">
        <f t="shared" si="111"/>
        <v>17.393264314176715</v>
      </c>
      <c r="BN94">
        <f t="shared" si="112"/>
        <v>2.9451271044504061E-2</v>
      </c>
      <c r="BO94">
        <f t="shared" si="113"/>
        <v>-4.8806849999999997</v>
      </c>
      <c r="BP94">
        <f t="shared" si="114"/>
        <v>4.6274556000070608E-15</v>
      </c>
      <c r="BQ94">
        <f t="shared" si="115"/>
        <v>-12.446793</v>
      </c>
      <c r="BR94">
        <f t="shared" si="116"/>
        <v>110.14721388349511</v>
      </c>
      <c r="BS94">
        <f t="shared" si="117"/>
        <v>7.3363234190367317</v>
      </c>
      <c r="BT94">
        <f t="shared" si="118"/>
        <v>-1.0089869226239261</v>
      </c>
      <c r="BU94">
        <f t="shared" si="119"/>
        <v>174.31082000000001</v>
      </c>
      <c r="BV94">
        <f t="shared" si="120"/>
        <v>-103.93077599999999</v>
      </c>
      <c r="BW94">
        <f t="shared" si="121"/>
        <v>404.02054431752117</v>
      </c>
      <c r="BX94">
        <f t="shared" si="122"/>
        <v>1589.0592276565076</v>
      </c>
      <c r="BY94">
        <f t="shared" si="123"/>
        <v>2048</v>
      </c>
      <c r="BZ94">
        <v>1993.07975422715</v>
      </c>
      <c r="CD94">
        <v>2050.1222567478599</v>
      </c>
      <c r="CG94">
        <f t="shared" si="124"/>
        <v>276.92480497714013</v>
      </c>
      <c r="CH94">
        <f t="shared" si="125"/>
        <v>119.51173558773939</v>
      </c>
      <c r="CI94">
        <f t="shared" si="126"/>
        <v>177.74148602972468</v>
      </c>
      <c r="CJ94">
        <f t="shared" si="127"/>
        <v>173.12235790789691</v>
      </c>
      <c r="CK94">
        <f t="shared" si="128"/>
        <v>89.798474364603635</v>
      </c>
      <c r="CL94">
        <f t="shared" si="129"/>
        <v>68.776245952785715</v>
      </c>
      <c r="CM94">
        <f t="shared" si="130"/>
        <v>105.23476220545656</v>
      </c>
      <c r="CN94">
        <f t="shared" si="131"/>
        <v>66.247427089046568</v>
      </c>
      <c r="CO94">
        <f t="shared" si="132"/>
        <v>593.3216331713046</v>
      </c>
      <c r="CP94">
        <f t="shared" si="133"/>
        <v>411.87466827101531</v>
      </c>
      <c r="CQ94">
        <f t="shared" si="134"/>
        <v>150.83044517809216</v>
      </c>
      <c r="CR94">
        <f t="shared" si="135"/>
        <v>4.2783261548875586</v>
      </c>
      <c r="CS94">
        <f t="shared" si="136"/>
        <v>-61.198993999999999</v>
      </c>
      <c r="CT94">
        <f t="shared" si="137"/>
        <v>-7.447713879485892E-15</v>
      </c>
      <c r="CU94">
        <f t="shared" si="138"/>
        <v>73.717350999999994</v>
      </c>
      <c r="CV94">
        <f t="shared" si="139"/>
        <v>73.53156407766987</v>
      </c>
      <c r="CW94">
        <f t="shared" si="140"/>
        <v>-3.0375069047709489</v>
      </c>
      <c r="CX94">
        <f t="shared" si="141"/>
        <v>-493.12508175025403</v>
      </c>
      <c r="CY94">
        <f t="shared" si="142"/>
        <v>6.9204030000000003</v>
      </c>
      <c r="CZ94">
        <f t="shared" si="143"/>
        <v>9.8936639999999993</v>
      </c>
      <c r="DA94">
        <v>9041.4352539192896</v>
      </c>
      <c r="DB94">
        <f t="shared" si="145"/>
        <v>2503797.6944050388</v>
      </c>
      <c r="DC94">
        <f t="shared" si="146"/>
        <v>1080557.6194000675</v>
      </c>
      <c r="DD94">
        <f t="shared" si="147"/>
        <v>1607038.1378731558</v>
      </c>
      <c r="DE94">
        <f t="shared" si="148"/>
        <v>1565274.590030092</v>
      </c>
      <c r="DF94">
        <f t="shared" si="149"/>
        <v>811907.09186829487</v>
      </c>
      <c r="DG94">
        <f t="shared" si="150"/>
        <v>621835.97478974063</v>
      </c>
      <c r="DH94">
        <f t="shared" si="151"/>
        <v>951473.28894222819</v>
      </c>
      <c r="DI94">
        <f t="shared" si="152"/>
        <v>598971.82276435336</v>
      </c>
    </row>
    <row r="95" spans="1:113" x14ac:dyDescent="0.3">
      <c r="A95" s="1">
        <v>45930</v>
      </c>
      <c r="B95">
        <v>40</v>
      </c>
      <c r="C95">
        <v>1</v>
      </c>
      <c r="D95">
        <v>0.88349514563106701</v>
      </c>
      <c r="E95">
        <v>-0.99270887409805397</v>
      </c>
      <c r="F95">
        <v>0.12053668025532301</v>
      </c>
      <c r="G95">
        <v>1.0043084606486099</v>
      </c>
      <c r="H95">
        <v>0.99266302591050504</v>
      </c>
      <c r="I95">
        <v>0.91580422668180095</v>
      </c>
      <c r="J95">
        <v>6.8948713506763598E-2</v>
      </c>
      <c r="K95">
        <v>62.071842642188102</v>
      </c>
      <c r="L95">
        <v>0.98277597184825405</v>
      </c>
      <c r="M95">
        <v>1.83004896794205</v>
      </c>
      <c r="N95">
        <v>9.0906547672267397</v>
      </c>
      <c r="O95">
        <v>0.234359098603932</v>
      </c>
      <c r="P95">
        <v>2.6784576737857901</v>
      </c>
      <c r="Q95">
        <v>1.3191953277034101</v>
      </c>
      <c r="R95">
        <v>0.75883787032462302</v>
      </c>
      <c r="S95">
        <v>2.0893919748130001</v>
      </c>
      <c r="T95">
        <v>4.9863674885564198</v>
      </c>
      <c r="U95">
        <v>21</v>
      </c>
      <c r="V95">
        <v>183</v>
      </c>
      <c r="W95">
        <v>2093</v>
      </c>
      <c r="X95">
        <v>9038.7761458375298</v>
      </c>
      <c r="Y95">
        <f t="shared" si="92"/>
        <v>18918158.47323795</v>
      </c>
      <c r="Z95">
        <f t="shared" si="144"/>
        <v>11.667064220568456</v>
      </c>
      <c r="AA95">
        <f t="shared" si="154"/>
        <v>11.179152332421037</v>
      </c>
      <c r="AB95">
        <f t="shared" si="155"/>
        <v>3.6681330141195558</v>
      </c>
      <c r="AC95">
        <f t="shared" si="156"/>
        <v>4.1216716422710169</v>
      </c>
      <c r="AD95">
        <f t="shared" si="157"/>
        <v>2.594136737462907</v>
      </c>
      <c r="AE95">
        <f t="shared" si="158"/>
        <v>1.6270840190395561</v>
      </c>
      <c r="AF95">
        <f t="shared" si="159"/>
        <v>6.2674827026453688</v>
      </c>
      <c r="AG95">
        <f t="shared" si="160"/>
        <v>6.774516861177009</v>
      </c>
      <c r="AH95">
        <f t="shared" si="90"/>
        <v>14.752361412031716</v>
      </c>
      <c r="AI95">
        <f t="shared" si="153"/>
        <v>6.9687240579263854</v>
      </c>
      <c r="AJ95">
        <f t="shared" si="153"/>
        <v>4.6296050148216619</v>
      </c>
      <c r="AK95">
        <f t="shared" si="153"/>
        <v>3.6948385064954095</v>
      </c>
      <c r="AL95">
        <f t="shared" si="153"/>
        <v>2.5944664113759068</v>
      </c>
      <c r="AM95">
        <f t="shared" si="153"/>
        <v>2.3895751703221002</v>
      </c>
      <c r="AN95">
        <f t="shared" si="153"/>
        <v>6.5870344778956778</v>
      </c>
      <c r="AO95">
        <f t="shared" si="153"/>
        <v>3.6424813908642166</v>
      </c>
      <c r="AP95">
        <f t="shared" si="93"/>
        <v>0.40723362601874408</v>
      </c>
      <c r="AQ95">
        <f t="shared" si="94"/>
        <v>0.65963451006494001</v>
      </c>
      <c r="AR95">
        <f t="shared" si="95"/>
        <v>0.42207409348497316</v>
      </c>
      <c r="AS95">
        <f t="shared" si="96"/>
        <v>0.53411005213115947</v>
      </c>
      <c r="AT95">
        <f t="shared" si="97"/>
        <v>0.49996028869629111</v>
      </c>
      <c r="AU95">
        <f t="shared" si="98"/>
        <v>0.35974082938586732</v>
      </c>
      <c r="AV95">
        <f t="shared" si="99"/>
        <v>0.48136047207631405</v>
      </c>
      <c r="AW95">
        <f t="shared" si="100"/>
        <v>0.69797614418000531</v>
      </c>
      <c r="BC95">
        <f t="shared" si="101"/>
        <v>74.150353719528312</v>
      </c>
      <c r="BD95">
        <f t="shared" si="102"/>
        <v>82.079039110092936</v>
      </c>
      <c r="BE95">
        <f t="shared" si="103"/>
        <v>46.057063162429152</v>
      </c>
      <c r="BF95">
        <f t="shared" si="104"/>
        <v>38.601209699273937</v>
      </c>
      <c r="BG95">
        <f t="shared" si="105"/>
        <v>11.691629846516546</v>
      </c>
      <c r="BH95">
        <f t="shared" si="106"/>
        <v>44.073232211551598</v>
      </c>
      <c r="BI95">
        <f t="shared" si="107"/>
        <v>44.45876175303097</v>
      </c>
      <c r="BJ95">
        <f t="shared" si="108"/>
        <v>70.08999522884524</v>
      </c>
      <c r="BK95">
        <f t="shared" si="109"/>
        <v>3.6156219365741276</v>
      </c>
      <c r="BL95">
        <f t="shared" si="110"/>
        <v>-1.7517990969864861</v>
      </c>
      <c r="BM95">
        <f t="shared" si="111"/>
        <v>17.82743337758005</v>
      </c>
      <c r="BN95">
        <f t="shared" si="112"/>
        <v>0.20826151971115764</v>
      </c>
      <c r="BO95">
        <f t="shared" si="113"/>
        <v>-4.8450993111772602</v>
      </c>
      <c r="BP95">
        <f t="shared" si="114"/>
        <v>-3.0364027486243641</v>
      </c>
      <c r="BQ95">
        <f t="shared" si="115"/>
        <v>-12.446793</v>
      </c>
      <c r="BR95">
        <f t="shared" si="116"/>
        <v>111.37107181553387</v>
      </c>
      <c r="BS95">
        <f t="shared" si="117"/>
        <v>6.0636120921874292</v>
      </c>
      <c r="BT95">
        <f t="shared" si="118"/>
        <v>-1.009490771091005</v>
      </c>
      <c r="BU95">
        <f t="shared" si="119"/>
        <v>203.17758000000001</v>
      </c>
      <c r="BV95">
        <f t="shared" si="120"/>
        <v>-90.93942899999999</v>
      </c>
      <c r="BW95">
        <f t="shared" si="121"/>
        <v>411.20128473126869</v>
      </c>
      <c r="BX95">
        <f t="shared" si="122"/>
        <v>1628.4838128899376</v>
      </c>
      <c r="BY95">
        <f t="shared" si="123"/>
        <v>2093</v>
      </c>
      <c r="BZ95">
        <v>2039.6850833625599</v>
      </c>
      <c r="CD95">
        <v>2076.4833251953401</v>
      </c>
      <c r="CG95">
        <f t="shared" si="124"/>
        <v>208.01862367085806</v>
      </c>
      <c r="CH95">
        <f t="shared" si="125"/>
        <v>240.23979226492995</v>
      </c>
      <c r="CI95">
        <f t="shared" si="126"/>
        <v>113.23270615638364</v>
      </c>
      <c r="CJ95">
        <f t="shared" si="127"/>
        <v>158.95027824429783</v>
      </c>
      <c r="CK95">
        <f t="shared" si="128"/>
        <v>74.271275213129584</v>
      </c>
      <c r="CL95">
        <f t="shared" si="129"/>
        <v>64.680878060413008</v>
      </c>
      <c r="CM95">
        <f t="shared" si="130"/>
        <v>109.38380107279967</v>
      </c>
      <c r="CN95">
        <f t="shared" si="131"/>
        <v>100.1455466713566</v>
      </c>
      <c r="CO95">
        <f t="shared" si="132"/>
        <v>593.14713583702667</v>
      </c>
      <c r="CP95">
        <f t="shared" si="133"/>
        <v>410.76395416578885</v>
      </c>
      <c r="CQ95">
        <f t="shared" si="134"/>
        <v>154.59546087225974</v>
      </c>
      <c r="CR95">
        <f t="shared" si="135"/>
        <v>30.253726757343099</v>
      </c>
      <c r="CS95">
        <f t="shared" si="136"/>
        <v>-60.752784429673561</v>
      </c>
      <c r="CT95">
        <f t="shared" si="137"/>
        <v>4.8869747976845597</v>
      </c>
      <c r="CU95">
        <f t="shared" si="138"/>
        <v>73.717350999999994</v>
      </c>
      <c r="CV95">
        <f t="shared" si="139"/>
        <v>74.348581456310598</v>
      </c>
      <c r="CW95">
        <f t="shared" si="140"/>
        <v>-2.5105577475059402</v>
      </c>
      <c r="CX95">
        <f t="shared" si="141"/>
        <v>-493.37132906124191</v>
      </c>
      <c r="CY95">
        <f t="shared" si="142"/>
        <v>8.0664569999999998</v>
      </c>
      <c r="CZ95">
        <f t="shared" si="143"/>
        <v>8.6569559999999992</v>
      </c>
      <c r="DA95">
        <v>9038.7761458375298</v>
      </c>
      <c r="DB95">
        <f t="shared" si="145"/>
        <v>1880233.773526106</v>
      </c>
      <c r="DC95">
        <f t="shared" si="146"/>
        <v>2171473.7036052123</v>
      </c>
      <c r="DD95">
        <f t="shared" si="147"/>
        <v>1023485.0833349508</v>
      </c>
      <c r="DE95">
        <f t="shared" si="148"/>
        <v>1436715.9833687975</v>
      </c>
      <c r="DF95">
        <f t="shared" si="149"/>
        <v>671321.43071736989</v>
      </c>
      <c r="DG95">
        <f t="shared" si="150"/>
        <v>584635.97770428716</v>
      </c>
      <c r="DH95">
        <f t="shared" si="151"/>
        <v>988695.6918778593</v>
      </c>
      <c r="DI95">
        <f t="shared" si="152"/>
        <v>905193.17836491705</v>
      </c>
    </row>
    <row r="96" spans="1:113" x14ac:dyDescent="0.3">
      <c r="A96" s="1">
        <v>45937</v>
      </c>
      <c r="B96">
        <v>41</v>
      </c>
      <c r="C96">
        <v>0</v>
      </c>
      <c r="D96">
        <v>0.89320388349514501</v>
      </c>
      <c r="E96">
        <v>-0.97094181742605201</v>
      </c>
      <c r="F96">
        <v>0.23931566428755699</v>
      </c>
      <c r="G96">
        <v>1.0030385657124801</v>
      </c>
      <c r="H96">
        <v>0.99459300629457204</v>
      </c>
      <c r="I96">
        <v>0.93125408466591297</v>
      </c>
      <c r="J96">
        <v>3.3847996315597699E-2</v>
      </c>
      <c r="K96">
        <v>11.1678756501958</v>
      </c>
      <c r="L96">
        <v>0.98158718310256698</v>
      </c>
      <c r="M96">
        <v>4.7351110360243398</v>
      </c>
      <c r="N96">
        <v>4.6582336163942797</v>
      </c>
      <c r="O96">
        <v>2.0888072575141998</v>
      </c>
      <c r="P96">
        <v>2.97369538333216</v>
      </c>
      <c r="Q96">
        <v>0.43470723511187698</v>
      </c>
      <c r="R96">
        <v>0.55426281013862</v>
      </c>
      <c r="S96">
        <v>1.35847743336558</v>
      </c>
      <c r="T96">
        <v>0.69139823650503696</v>
      </c>
      <c r="U96">
        <v>12</v>
      </c>
      <c r="V96">
        <v>142</v>
      </c>
      <c r="W96">
        <v>1907</v>
      </c>
      <c r="X96">
        <v>9027.3470914123409</v>
      </c>
      <c r="Y96">
        <f t="shared" si="92"/>
        <v>17215150.903323334</v>
      </c>
      <c r="Z96">
        <f t="shared" si="144"/>
        <v>11.735349568365413</v>
      </c>
      <c r="AA96">
        <f t="shared" si="154"/>
        <v>10.247809782604797</v>
      </c>
      <c r="AB96">
        <f t="shared" si="155"/>
        <v>3.7394671138679998</v>
      </c>
      <c r="AC96">
        <f t="shared" si="156"/>
        <v>4.2101968760134652</v>
      </c>
      <c r="AD96">
        <f t="shared" si="157"/>
        <v>1.3426550932238943</v>
      </c>
      <c r="AE96">
        <f t="shared" si="158"/>
        <v>1.3678048196583981</v>
      </c>
      <c r="AF96">
        <f t="shared" si="159"/>
        <v>5.7457153252173381</v>
      </c>
      <c r="AG96">
        <f t="shared" si="160"/>
        <v>4.4173825101523922</v>
      </c>
      <c r="AH96">
        <f t="shared" si="90"/>
        <v>14.752361412031716</v>
      </c>
      <c r="AI96">
        <f t="shared" si="153"/>
        <v>6.9687240579263854</v>
      </c>
      <c r="AJ96">
        <f t="shared" si="153"/>
        <v>4.6296050148216619</v>
      </c>
      <c r="AK96">
        <f t="shared" si="153"/>
        <v>3.6948385064954095</v>
      </c>
      <c r="AL96">
        <f t="shared" si="153"/>
        <v>2.5944664113759068</v>
      </c>
      <c r="AM96">
        <f t="shared" si="153"/>
        <v>2.3895751703221002</v>
      </c>
      <c r="AN96">
        <f t="shared" si="153"/>
        <v>6.5870344778956778</v>
      </c>
      <c r="AO96">
        <f t="shared" si="153"/>
        <v>3.6424813908642166</v>
      </c>
      <c r="AP96">
        <f t="shared" si="93"/>
        <v>0.4094895188066926</v>
      </c>
      <c r="AQ96">
        <f t="shared" si="94"/>
        <v>0.63178557229415278</v>
      </c>
      <c r="AR96">
        <f t="shared" si="95"/>
        <v>0.42842907130399571</v>
      </c>
      <c r="AS96">
        <f t="shared" si="96"/>
        <v>0.54071358403839942</v>
      </c>
      <c r="AT96">
        <f t="shared" si="97"/>
        <v>0.30503928248510132</v>
      </c>
      <c r="AU96">
        <f t="shared" si="98"/>
        <v>0.3021959476702894</v>
      </c>
      <c r="AV96">
        <f t="shared" si="99"/>
        <v>0.44893535053153083</v>
      </c>
      <c r="AW96">
        <f t="shared" si="100"/>
        <v>0.56473239123086971</v>
      </c>
      <c r="BC96">
        <f t="shared" si="101"/>
        <v>74.561113631019552</v>
      </c>
      <c r="BD96">
        <f t="shared" si="102"/>
        <v>78.613765511478519</v>
      </c>
      <c r="BE96">
        <f t="shared" si="103"/>
        <v>46.750523432378124</v>
      </c>
      <c r="BF96">
        <f t="shared" si="104"/>
        <v>39.078460256326963</v>
      </c>
      <c r="BG96">
        <f t="shared" si="105"/>
        <v>7.1333793105101453</v>
      </c>
      <c r="BH96">
        <f t="shared" si="106"/>
        <v>37.023187492505947</v>
      </c>
      <c r="BI96">
        <f t="shared" si="107"/>
        <v>41.463956742651881</v>
      </c>
      <c r="BJ96">
        <f t="shared" si="108"/>
        <v>56.709804392308797</v>
      </c>
      <c r="BK96">
        <f t="shared" si="109"/>
        <v>3.6110501738457224</v>
      </c>
      <c r="BL96">
        <f t="shared" si="110"/>
        <v>-1.7552050240793271</v>
      </c>
      <c r="BM96">
        <f t="shared" si="111"/>
        <v>18.128186863838561</v>
      </c>
      <c r="BN96">
        <f t="shared" si="112"/>
        <v>0.1022388206151597</v>
      </c>
      <c r="BO96">
        <f t="shared" si="113"/>
        <v>-4.7388611641840708</v>
      </c>
      <c r="BP96">
        <f t="shared" si="114"/>
        <v>-6.0285279077902407</v>
      </c>
      <c r="BQ96">
        <f t="shared" si="115"/>
        <v>0</v>
      </c>
      <c r="BR96">
        <f t="shared" si="116"/>
        <v>112.59492974757273</v>
      </c>
      <c r="BS96">
        <f t="shared" si="117"/>
        <v>1.0909562686406771</v>
      </c>
      <c r="BT96">
        <f t="shared" si="118"/>
        <v>-1.008269667500844</v>
      </c>
      <c r="BU96">
        <f t="shared" si="119"/>
        <v>157.65692000000001</v>
      </c>
      <c r="BV96">
        <f t="shared" si="120"/>
        <v>-51.965387999999997</v>
      </c>
      <c r="BW96">
        <f t="shared" si="121"/>
        <v>381.33419076917994</v>
      </c>
      <c r="BX96">
        <f t="shared" si="122"/>
        <v>1627.9372761871884</v>
      </c>
      <c r="BY96">
        <f t="shared" si="123"/>
        <v>1907</v>
      </c>
      <c r="BZ96">
        <v>2009.2714640192601</v>
      </c>
      <c r="CD96">
        <v>1923.0149844991799</v>
      </c>
      <c r="CG96">
        <f t="shared" si="124"/>
        <v>209.17095413405139</v>
      </c>
      <c r="CH96">
        <f t="shared" si="125"/>
        <v>230.09717097576447</v>
      </c>
      <c r="CI96">
        <f t="shared" si="126"/>
        <v>114.93759955571599</v>
      </c>
      <c r="CJ96">
        <f t="shared" si="127"/>
        <v>160.91547854311776</v>
      </c>
      <c r="CK96">
        <f t="shared" si="128"/>
        <v>45.314912029001327</v>
      </c>
      <c r="CL96">
        <f t="shared" si="129"/>
        <v>54.334391998210116</v>
      </c>
      <c r="CM96">
        <f t="shared" si="130"/>
        <v>102.01555367700266</v>
      </c>
      <c r="CN96">
        <f t="shared" si="131"/>
        <v>81.027746455833665</v>
      </c>
      <c r="CO96">
        <f t="shared" si="132"/>
        <v>592.39713265205614</v>
      </c>
      <c r="CP96">
        <f t="shared" si="133"/>
        <v>411.56258003713589</v>
      </c>
      <c r="CQ96">
        <f t="shared" si="134"/>
        <v>157.20352692598266</v>
      </c>
      <c r="CR96">
        <f t="shared" si="135"/>
        <v>14.852025218936037</v>
      </c>
      <c r="CS96">
        <f t="shared" si="136"/>
        <v>-59.420662459006053</v>
      </c>
      <c r="CT96">
        <f t="shared" si="137"/>
        <v>9.7026864983099816</v>
      </c>
      <c r="CU96">
        <f t="shared" si="138"/>
        <v>0</v>
      </c>
      <c r="CV96">
        <f t="shared" si="139"/>
        <v>75.165598834951396</v>
      </c>
      <c r="CW96">
        <f t="shared" si="140"/>
        <v>-0.45169589854781933</v>
      </c>
      <c r="CX96">
        <f t="shared" si="141"/>
        <v>-492.77453559026435</v>
      </c>
      <c r="CY96">
        <f t="shared" si="142"/>
        <v>6.2592179999999997</v>
      </c>
      <c r="CZ96">
        <f t="shared" si="143"/>
        <v>4.9468319999999997</v>
      </c>
      <c r="DA96">
        <v>9027.3470914123409</v>
      </c>
      <c r="DB96">
        <f t="shared" si="145"/>
        <v>1888258.8044099729</v>
      </c>
      <c r="DC96">
        <f t="shared" si="146"/>
        <v>2077167.0271502754</v>
      </c>
      <c r="DD96">
        <f t="shared" si="147"/>
        <v>1037581.6050432092</v>
      </c>
      <c r="DE96">
        <f t="shared" si="148"/>
        <v>1452639.877189439</v>
      </c>
      <c r="DF96">
        <f t="shared" si="149"/>
        <v>409073.43930261122</v>
      </c>
      <c r="DG96">
        <f t="shared" si="150"/>
        <v>490495.41556870006</v>
      </c>
      <c r="DH96">
        <f t="shared" si="151"/>
        <v>920929.81176490942</v>
      </c>
      <c r="DI96">
        <f t="shared" si="152"/>
        <v>731465.59129176661</v>
      </c>
    </row>
    <row r="97" spans="1:113" x14ac:dyDescent="0.3">
      <c r="A97" s="1">
        <v>45944</v>
      </c>
      <c r="B97">
        <v>42</v>
      </c>
      <c r="C97">
        <v>0</v>
      </c>
      <c r="D97">
        <v>0.90291262135922301</v>
      </c>
      <c r="E97">
        <v>-0.93501624268541395</v>
      </c>
      <c r="F97">
        <v>0.35460488704253501</v>
      </c>
      <c r="G97">
        <v>1.00279941107976</v>
      </c>
      <c r="H97">
        <v>0.993409190925993</v>
      </c>
      <c r="I97">
        <v>0.90009827915472196</v>
      </c>
      <c r="J97">
        <v>3.78560846479793E-2</v>
      </c>
      <c r="K97">
        <v>4.9278659939081999</v>
      </c>
      <c r="L97">
        <v>0.981627061114557</v>
      </c>
      <c r="M97">
        <v>3.9030982812878499</v>
      </c>
      <c r="N97">
        <v>1.4827587575494099</v>
      </c>
      <c r="O97">
        <v>1.9470657646808101</v>
      </c>
      <c r="P97">
        <v>0.98459651867230202</v>
      </c>
      <c r="Q97">
        <v>2.7637218549233999</v>
      </c>
      <c r="R97">
        <v>0.61473571752499001</v>
      </c>
      <c r="S97">
        <v>0.39450285937955198</v>
      </c>
      <c r="T97">
        <v>1.2220881040013001</v>
      </c>
      <c r="U97">
        <v>12</v>
      </c>
      <c r="V97">
        <v>134</v>
      </c>
      <c r="W97">
        <v>1816</v>
      </c>
      <c r="X97">
        <v>9025.1946997178693</v>
      </c>
      <c r="Y97">
        <f t="shared" si="92"/>
        <v>16389753.57468765</v>
      </c>
      <c r="Z97">
        <f t="shared" si="144"/>
        <v>10.944308022307098</v>
      </c>
      <c r="AA97">
        <f t="shared" si="154"/>
        <v>6.6066636488518089</v>
      </c>
      <c r="AB97">
        <f t="shared" si="155"/>
        <v>3.6298259659214098</v>
      </c>
      <c r="AC97">
        <f t="shared" si="156"/>
        <v>2.2476555814763417</v>
      </c>
      <c r="AD97">
        <f t="shared" si="157"/>
        <v>3.2336511375517629</v>
      </c>
      <c r="AE97">
        <f t="shared" si="158"/>
        <v>1.2986381273541889</v>
      </c>
      <c r="AF97">
        <f t="shared" si="159"/>
        <v>4.4165035870316878</v>
      </c>
      <c r="AG97">
        <f t="shared" si="160"/>
        <v>3.6516484845851158</v>
      </c>
      <c r="AH97">
        <f t="shared" si="90"/>
        <v>14.752361412031716</v>
      </c>
      <c r="AI97">
        <f t="shared" si="153"/>
        <v>6.9687240579263854</v>
      </c>
      <c r="AJ97">
        <f t="shared" si="153"/>
        <v>4.6296050148216619</v>
      </c>
      <c r="AK97">
        <f t="shared" si="153"/>
        <v>3.6948385064954095</v>
      </c>
      <c r="AL97">
        <f t="shared" si="153"/>
        <v>2.5944664113759068</v>
      </c>
      <c r="AM97">
        <f t="shared" si="153"/>
        <v>2.3895751703221002</v>
      </c>
      <c r="AN97">
        <f t="shared" si="153"/>
        <v>6.5870344778956778</v>
      </c>
      <c r="AO97">
        <f t="shared" si="153"/>
        <v>3.6424813908642166</v>
      </c>
      <c r="AP97">
        <f t="shared" si="93"/>
        <v>0.38278738476860724</v>
      </c>
      <c r="AQ97">
        <f t="shared" si="94"/>
        <v>0.48133500042733068</v>
      </c>
      <c r="AR97">
        <f t="shared" si="95"/>
        <v>0.41862091321962475</v>
      </c>
      <c r="AS97">
        <f t="shared" si="96"/>
        <v>0.34948324756125643</v>
      </c>
      <c r="AT97">
        <f t="shared" si="97"/>
        <v>0.56839082435671462</v>
      </c>
      <c r="AU97">
        <f t="shared" si="98"/>
        <v>0.28603919598049232</v>
      </c>
      <c r="AV97">
        <f t="shared" si="99"/>
        <v>0.35442780926384077</v>
      </c>
      <c r="AW97">
        <f t="shared" si="100"/>
        <v>0.50084832402050528</v>
      </c>
      <c r="BC97">
        <f t="shared" si="101"/>
        <v>69.699106769387853</v>
      </c>
      <c r="BD97">
        <f t="shared" si="102"/>
        <v>59.893037314318221</v>
      </c>
      <c r="BE97">
        <f t="shared" si="103"/>
        <v>45.680249365876939</v>
      </c>
      <c r="BF97">
        <f t="shared" si="104"/>
        <v>25.257858509995838</v>
      </c>
      <c r="BG97">
        <f t="shared" si="105"/>
        <v>13.291885929308222</v>
      </c>
      <c r="BH97">
        <f t="shared" si="106"/>
        <v>35.04376172027866</v>
      </c>
      <c r="BI97">
        <f t="shared" si="107"/>
        <v>32.735179651834073</v>
      </c>
      <c r="BJ97">
        <f t="shared" si="108"/>
        <v>50.294636763286071</v>
      </c>
      <c r="BK97">
        <f t="shared" si="109"/>
        <v>3.610189190621766</v>
      </c>
      <c r="BL97">
        <f t="shared" si="110"/>
        <v>-1.7531158894590735</v>
      </c>
      <c r="BM97">
        <f t="shared" si="111"/>
        <v>17.52169474369618</v>
      </c>
      <c r="BN97">
        <f t="shared" si="112"/>
        <v>0.11434536364959162</v>
      </c>
      <c r="BO97">
        <f t="shared" si="113"/>
        <v>-4.563519750431059</v>
      </c>
      <c r="BP97">
        <f t="shared" si="114"/>
        <v>-8.9327435549979519</v>
      </c>
      <c r="BQ97">
        <f t="shared" si="115"/>
        <v>0</v>
      </c>
      <c r="BR97">
        <f t="shared" si="116"/>
        <v>113.81878767961162</v>
      </c>
      <c r="BS97">
        <f t="shared" si="117"/>
        <v>0.48138844534691033</v>
      </c>
      <c r="BT97">
        <f t="shared" si="118"/>
        <v>-1.008310629516834</v>
      </c>
      <c r="BU97">
        <f t="shared" si="119"/>
        <v>148.77484000000001</v>
      </c>
      <c r="BV97">
        <f t="shared" si="120"/>
        <v>-51.965387999999997</v>
      </c>
      <c r="BW97">
        <f t="shared" si="121"/>
        <v>331.89571602428583</v>
      </c>
      <c r="BX97">
        <f t="shared" si="122"/>
        <v>1616.3474136747511</v>
      </c>
      <c r="BY97">
        <f t="shared" si="123"/>
        <v>1816</v>
      </c>
      <c r="BZ97">
        <v>1948.2431280109899</v>
      </c>
      <c r="CD97">
        <v>1804.05284420667</v>
      </c>
      <c r="CG97">
        <f t="shared" si="124"/>
        <v>195.53126227957367</v>
      </c>
      <c r="CH97">
        <f t="shared" si="125"/>
        <v>175.30286658458442</v>
      </c>
      <c r="CI97">
        <f t="shared" si="126"/>
        <v>112.30629784957971</v>
      </c>
      <c r="CJ97">
        <f t="shared" si="127"/>
        <v>104.00564306912015</v>
      </c>
      <c r="CK97">
        <f t="shared" si="128"/>
        <v>84.436928889885081</v>
      </c>
      <c r="CL97">
        <f t="shared" si="129"/>
        <v>51.429431536301557</v>
      </c>
      <c r="CM97">
        <f t="shared" si="130"/>
        <v>80.539768493990138</v>
      </c>
      <c r="CN97">
        <f t="shared" si="131"/>
        <v>71.861666944781362</v>
      </c>
      <c r="CO97">
        <f t="shared" si="132"/>
        <v>592.25588731660559</v>
      </c>
      <c r="CP97">
        <f t="shared" si="133"/>
        <v>411.07271724472076</v>
      </c>
      <c r="CQ97">
        <f t="shared" si="134"/>
        <v>151.94416474843442</v>
      </c>
      <c r="CR97">
        <f t="shared" si="135"/>
        <v>16.610718065544013</v>
      </c>
      <c r="CS97">
        <f t="shared" si="136"/>
        <v>-57.222053426007193</v>
      </c>
      <c r="CT97">
        <f t="shared" si="137"/>
        <v>14.376911181242859</v>
      </c>
      <c r="CU97">
        <f t="shared" si="138"/>
        <v>0</v>
      </c>
      <c r="CV97">
        <f t="shared" si="139"/>
        <v>75.982616213592209</v>
      </c>
      <c r="CW97">
        <f t="shared" si="140"/>
        <v>-0.19931246798961108</v>
      </c>
      <c r="CX97">
        <f t="shared" si="141"/>
        <v>-492.79455507419499</v>
      </c>
      <c r="CY97">
        <f t="shared" si="142"/>
        <v>5.9065859999999999</v>
      </c>
      <c r="CZ97">
        <f t="shared" si="143"/>
        <v>4.9468319999999997</v>
      </c>
      <c r="DA97">
        <v>9025.1946997178693</v>
      </c>
      <c r="DB97">
        <f t="shared" si="145"/>
        <v>1764707.7119547529</v>
      </c>
      <c r="DC97">
        <f t="shared" si="146"/>
        <v>1582142.5023445401</v>
      </c>
      <c r="DD97">
        <f t="shared" si="147"/>
        <v>1013586.2040969632</v>
      </c>
      <c r="DE97">
        <f t="shared" si="148"/>
        <v>938671.1785681718</v>
      </c>
      <c r="DF97">
        <f t="shared" si="149"/>
        <v>762059.72307744552</v>
      </c>
      <c r="DG97">
        <f t="shared" si="150"/>
        <v>464160.63291093183</v>
      </c>
      <c r="DH97">
        <f t="shared" si="151"/>
        <v>726887.091728464</v>
      </c>
      <c r="DI97">
        <f t="shared" si="152"/>
        <v>648565.53562293155</v>
      </c>
    </row>
    <row r="98" spans="1:113" x14ac:dyDescent="0.3">
      <c r="A98" s="1">
        <v>45951</v>
      </c>
      <c r="B98">
        <v>43</v>
      </c>
      <c r="C98">
        <v>0</v>
      </c>
      <c r="D98">
        <v>0.91262135922330001</v>
      </c>
      <c r="E98">
        <v>-0.88545602565321002</v>
      </c>
      <c r="F98">
        <v>0.46472317204376801</v>
      </c>
      <c r="G98">
        <v>0.997737407777889</v>
      </c>
      <c r="H98">
        <v>0.99339382532583298</v>
      </c>
      <c r="I98">
        <v>0.92553148402047702</v>
      </c>
      <c r="J98">
        <v>7.8887600316526696E-2</v>
      </c>
      <c r="K98">
        <v>18.260514985339501</v>
      </c>
      <c r="L98">
        <v>0.98248286666876405</v>
      </c>
      <c r="M98">
        <v>8.9320586424428594</v>
      </c>
      <c r="N98">
        <v>5.1188894919495302</v>
      </c>
      <c r="O98">
        <v>0.17425501275044999</v>
      </c>
      <c r="P98">
        <v>1.8245750678588699</v>
      </c>
      <c r="Q98">
        <v>1.33665945501076</v>
      </c>
      <c r="R98">
        <v>1.2184386694307501</v>
      </c>
      <c r="S98">
        <v>1.6560002183517999</v>
      </c>
      <c r="T98">
        <v>1.3690180633923801</v>
      </c>
      <c r="U98">
        <v>14</v>
      </c>
      <c r="V98">
        <v>115</v>
      </c>
      <c r="W98">
        <v>1882</v>
      </c>
      <c r="X98">
        <v>8979.6366700010003</v>
      </c>
      <c r="Y98">
        <f t="shared" si="92"/>
        <v>16899676.212941881</v>
      </c>
      <c r="Z98">
        <f t="shared" si="144"/>
        <v>15.498643455827118</v>
      </c>
      <c r="AA98">
        <f t="shared" si="154"/>
        <v>8.4222213163754347</v>
      </c>
      <c r="AB98">
        <f t="shared" si="155"/>
        <v>1.8076766974150846</v>
      </c>
      <c r="AC98">
        <f t="shared" si="156"/>
        <v>2.4988717423017723</v>
      </c>
      <c r="AD98">
        <f t="shared" si="157"/>
        <v>2.468437353153877</v>
      </c>
      <c r="AE98">
        <f t="shared" si="158"/>
        <v>1.8677577331078445</v>
      </c>
      <c r="AF98">
        <f t="shared" si="159"/>
        <v>4.7475527292739805</v>
      </c>
      <c r="AG98">
        <f t="shared" si="160"/>
        <v>3.3774247299141935</v>
      </c>
      <c r="AH98">
        <f t="shared" si="90"/>
        <v>14.752361412031716</v>
      </c>
      <c r="AI98">
        <f t="shared" si="153"/>
        <v>6.9687240579263854</v>
      </c>
      <c r="AJ98">
        <f t="shared" si="153"/>
        <v>4.6296050148216619</v>
      </c>
      <c r="AK98">
        <f t="shared" si="153"/>
        <v>3.6948385064954095</v>
      </c>
      <c r="AL98">
        <f t="shared" si="153"/>
        <v>2.5944664113759068</v>
      </c>
      <c r="AM98">
        <f t="shared" si="153"/>
        <v>2.3895751703221002</v>
      </c>
      <c r="AN98">
        <f t="shared" si="153"/>
        <v>6.5870344778956778</v>
      </c>
      <c r="AO98">
        <f t="shared" si="153"/>
        <v>3.6424813908642166</v>
      </c>
      <c r="AP98">
        <f t="shared" si="93"/>
        <v>0.5197294849183538</v>
      </c>
      <c r="AQ98">
        <f t="shared" si="94"/>
        <v>0.56591856780406735</v>
      </c>
      <c r="AR98">
        <f t="shared" si="95"/>
        <v>0.21932927398360794</v>
      </c>
      <c r="AS98">
        <f t="shared" si="96"/>
        <v>0.38015935500634834</v>
      </c>
      <c r="AT98">
        <f t="shared" si="97"/>
        <v>0.48444390538377086</v>
      </c>
      <c r="AU98">
        <f t="shared" si="98"/>
        <v>0.40864603113931014</v>
      </c>
      <c r="AV98">
        <f t="shared" si="99"/>
        <v>0.37960833789150555</v>
      </c>
      <c r="AW98">
        <f t="shared" si="100"/>
        <v>0.47452340180094932</v>
      </c>
      <c r="BC98">
        <f t="shared" si="101"/>
        <v>94.633946420206371</v>
      </c>
      <c r="BD98">
        <f t="shared" si="102"/>
        <v>70.417862545343311</v>
      </c>
      <c r="BE98">
        <f t="shared" si="103"/>
        <v>23.933386059839759</v>
      </c>
      <c r="BF98">
        <f t="shared" si="104"/>
        <v>27.474882607409132</v>
      </c>
      <c r="BG98">
        <f t="shared" si="105"/>
        <v>11.328777407336412</v>
      </c>
      <c r="BH98">
        <f t="shared" si="106"/>
        <v>50.064796518866615</v>
      </c>
      <c r="BI98">
        <f t="shared" si="107"/>
        <v>35.060869416604042</v>
      </c>
      <c r="BJ98">
        <f t="shared" si="108"/>
        <v>47.651117084062548</v>
      </c>
      <c r="BK98">
        <f t="shared" si="109"/>
        <v>3.5919654168526636</v>
      </c>
      <c r="BL98">
        <f t="shared" si="110"/>
        <v>-1.7530887730622879</v>
      </c>
      <c r="BM98">
        <f t="shared" si="111"/>
        <v>18.016788293291832</v>
      </c>
      <c r="BN98">
        <f t="shared" si="112"/>
        <v>0.23828220560887775</v>
      </c>
      <c r="BO98">
        <f t="shared" si="113"/>
        <v>-4.3216319425652374</v>
      </c>
      <c r="BP98">
        <f t="shared" si="114"/>
        <v>-11.706699686387088</v>
      </c>
      <c r="BQ98">
        <f t="shared" si="115"/>
        <v>0</v>
      </c>
      <c r="BR98">
        <f t="shared" si="116"/>
        <v>115.04264561165036</v>
      </c>
      <c r="BS98">
        <f t="shared" si="117"/>
        <v>1.7838149273728598</v>
      </c>
      <c r="BT98">
        <f t="shared" si="118"/>
        <v>-1.009189698433421</v>
      </c>
      <c r="BU98">
        <f t="shared" si="119"/>
        <v>127.6799</v>
      </c>
      <c r="BV98">
        <f t="shared" si="120"/>
        <v>-60.626285999999993</v>
      </c>
      <c r="BW98">
        <f t="shared" si="121"/>
        <v>360.56563805966817</v>
      </c>
      <c r="BX98">
        <f t="shared" si="122"/>
        <v>1587.1857464305585</v>
      </c>
      <c r="BY98">
        <f t="shared" si="123"/>
        <v>1882</v>
      </c>
      <c r="BZ98">
        <v>1947.75137948629</v>
      </c>
      <c r="CD98">
        <v>1898.6262507849999</v>
      </c>
      <c r="CG98">
        <f t="shared" si="124"/>
        <v>265.48252704678106</v>
      </c>
      <c r="CH98">
        <f t="shared" si="125"/>
        <v>206.10831770267922</v>
      </c>
      <c r="CI98">
        <f t="shared" si="126"/>
        <v>58.840965640462912</v>
      </c>
      <c r="CJ98">
        <f t="shared" si="127"/>
        <v>113.13480248934383</v>
      </c>
      <c r="CK98">
        <f t="shared" si="128"/>
        <v>71.966248991303672</v>
      </c>
      <c r="CL98">
        <f t="shared" si="129"/>
        <v>73.473962227518683</v>
      </c>
      <c r="CM98">
        <f t="shared" si="130"/>
        <v>86.261762912093829</v>
      </c>
      <c r="CN98">
        <f t="shared" si="131"/>
        <v>68.084569763536621</v>
      </c>
      <c r="CO98">
        <f t="shared" si="132"/>
        <v>589.26625526853627</v>
      </c>
      <c r="CP98">
        <f t="shared" si="133"/>
        <v>411.06635895946675</v>
      </c>
      <c r="CQ98">
        <f t="shared" si="134"/>
        <v>156.23750377562604</v>
      </c>
      <c r="CR98">
        <f t="shared" si="135"/>
        <v>34.614770648107466</v>
      </c>
      <c r="CS98">
        <f t="shared" si="136"/>
        <v>-54.189018001214649</v>
      </c>
      <c r="CT98">
        <f t="shared" si="137"/>
        <v>18.841488125168659</v>
      </c>
      <c r="CU98">
        <f t="shared" si="138"/>
        <v>0</v>
      </c>
      <c r="CV98">
        <f t="shared" si="139"/>
        <v>76.799633592232922</v>
      </c>
      <c r="CW98">
        <f t="shared" si="140"/>
        <v>-0.73856478909704149</v>
      </c>
      <c r="CX98">
        <f t="shared" si="141"/>
        <v>-493.22418495505485</v>
      </c>
      <c r="CY98">
        <f t="shared" si="142"/>
        <v>5.0690850000000003</v>
      </c>
      <c r="CZ98">
        <f t="shared" si="143"/>
        <v>5.7713039999999998</v>
      </c>
      <c r="DA98">
        <v>8979.6366700010003</v>
      </c>
      <c r="DB98">
        <f t="shared" si="145"/>
        <v>2383936.6351138074</v>
      </c>
      <c r="DC98">
        <f t="shared" si="146"/>
        <v>1850777.8076351946</v>
      </c>
      <c r="DD98">
        <f t="shared" si="147"/>
        <v>528370.49276336969</v>
      </c>
      <c r="DE98">
        <f t="shared" si="148"/>
        <v>1015909.4210866323</v>
      </c>
      <c r="DF98">
        <f t="shared" si="149"/>
        <v>646230.768444733</v>
      </c>
      <c r="DG98">
        <f t="shared" si="150"/>
        <v>659769.48550849513</v>
      </c>
      <c r="DH98">
        <f t="shared" si="151"/>
        <v>774599.28946437</v>
      </c>
      <c r="DI98">
        <f t="shared" si="152"/>
        <v>611374.69930989482</v>
      </c>
    </row>
    <row r="99" spans="1:113" x14ac:dyDescent="0.3">
      <c r="A99" s="1">
        <v>45958</v>
      </c>
      <c r="B99">
        <v>44</v>
      </c>
      <c r="C99">
        <v>0</v>
      </c>
      <c r="D99">
        <v>0.92233009708737801</v>
      </c>
      <c r="E99">
        <v>-0.82298386589365702</v>
      </c>
      <c r="F99">
        <v>0.56806474673115404</v>
      </c>
      <c r="G99">
        <v>0.99339607036062005</v>
      </c>
      <c r="H99">
        <v>0.99290349663026001</v>
      </c>
      <c r="I99">
        <v>0.91506426233187799</v>
      </c>
      <c r="J99">
        <v>6.4848577783901504E-2</v>
      </c>
      <c r="K99">
        <v>3.5350041366855698</v>
      </c>
      <c r="L99">
        <v>0.98341015274076204</v>
      </c>
      <c r="M99">
        <v>5.4421893842431901</v>
      </c>
      <c r="N99">
        <v>3.92604992608576</v>
      </c>
      <c r="O99">
        <v>7.9460667715607904</v>
      </c>
      <c r="P99">
        <v>1.6596830134699601</v>
      </c>
      <c r="Q99">
        <v>0.86270015281319301</v>
      </c>
      <c r="R99">
        <v>2.1313723531514999</v>
      </c>
      <c r="S99">
        <v>2.6111196716350502</v>
      </c>
      <c r="T99">
        <v>2.4527961371075802</v>
      </c>
      <c r="U99">
        <v>11</v>
      </c>
      <c r="V99">
        <v>113</v>
      </c>
      <c r="W99">
        <v>2041</v>
      </c>
      <c r="X99">
        <v>8940.5646332455799</v>
      </c>
      <c r="Y99">
        <f t="shared" si="92"/>
        <v>18247692.41645423</v>
      </c>
      <c r="Z99">
        <f t="shared" si="144"/>
        <v>14.741375457739462</v>
      </c>
      <c r="AA99">
        <f t="shared" si="154"/>
        <v>8.1371605842734773</v>
      </c>
      <c r="AB99">
        <f t="shared" si="155"/>
        <v>8.7595212853975788</v>
      </c>
      <c r="AC99">
        <f t="shared" si="156"/>
        <v>2.4093445361604919</v>
      </c>
      <c r="AD99">
        <f t="shared" si="157"/>
        <v>1.7266532264170498</v>
      </c>
      <c r="AE99">
        <f t="shared" si="158"/>
        <v>3.0652512197054222</v>
      </c>
      <c r="AF99">
        <f t="shared" si="159"/>
        <v>5.9344065821268366</v>
      </c>
      <c r="AG99">
        <f t="shared" si="160"/>
        <v>4.3103797385603873</v>
      </c>
      <c r="AH99">
        <f t="shared" si="90"/>
        <v>14.752361412031716</v>
      </c>
      <c r="AI99">
        <f t="shared" si="153"/>
        <v>6.9687240579263854</v>
      </c>
      <c r="AJ99">
        <f t="shared" si="153"/>
        <v>4.6296050148216619</v>
      </c>
      <c r="AK99">
        <f t="shared" si="153"/>
        <v>3.6948385064954095</v>
      </c>
      <c r="AL99">
        <f t="shared" si="153"/>
        <v>2.5944664113759068</v>
      </c>
      <c r="AM99">
        <f t="shared" si="153"/>
        <v>2.3895751703221002</v>
      </c>
      <c r="AN99">
        <f t="shared" si="153"/>
        <v>6.5870344778956778</v>
      </c>
      <c r="AO99">
        <f t="shared" si="153"/>
        <v>3.6424813908642166</v>
      </c>
      <c r="AP99">
        <f t="shared" si="93"/>
        <v>0.49970201257173602</v>
      </c>
      <c r="AQ99">
        <f t="shared" si="94"/>
        <v>0.55404128145022857</v>
      </c>
      <c r="AR99">
        <f t="shared" si="95"/>
        <v>0.70283906870896196</v>
      </c>
      <c r="AS99">
        <f t="shared" si="96"/>
        <v>0.36947315597992203</v>
      </c>
      <c r="AT99">
        <f t="shared" si="97"/>
        <v>0.37542918276540116</v>
      </c>
      <c r="AU99">
        <f t="shared" si="98"/>
        <v>0.59230947709303461</v>
      </c>
      <c r="AV99">
        <f t="shared" si="99"/>
        <v>0.46095358879585757</v>
      </c>
      <c r="AW99">
        <f t="shared" si="100"/>
        <v>0.55657843094382708</v>
      </c>
      <c r="BC99">
        <f t="shared" si="101"/>
        <v>90.98728253066443</v>
      </c>
      <c r="BD99">
        <f t="shared" si="102"/>
        <v>68.939958893724878</v>
      </c>
      <c r="BE99">
        <f t="shared" si="103"/>
        <v>76.694362151615962</v>
      </c>
      <c r="BF99">
        <f t="shared" si="104"/>
        <v>26.702569471078263</v>
      </c>
      <c r="BG99">
        <f t="shared" si="105"/>
        <v>8.7794553641832902</v>
      </c>
      <c r="BH99">
        <f t="shared" si="106"/>
        <v>72.56611146860709</v>
      </c>
      <c r="BI99">
        <f t="shared" si="107"/>
        <v>42.573968932435825</v>
      </c>
      <c r="BJ99">
        <f t="shared" si="108"/>
        <v>55.890992685948213</v>
      </c>
      <c r="BK99">
        <f t="shared" si="109"/>
        <v>3.5763361202620421</v>
      </c>
      <c r="BL99">
        <f t="shared" si="110"/>
        <v>-1.7522234669677614</v>
      </c>
      <c r="BM99">
        <f t="shared" si="111"/>
        <v>17.813028917799567</v>
      </c>
      <c r="BN99">
        <f t="shared" si="112"/>
        <v>0.19587694495645244</v>
      </c>
      <c r="BO99">
        <f t="shared" si="113"/>
        <v>-4.0167250095091829</v>
      </c>
      <c r="BP99">
        <f t="shared" si="114"/>
        <v>-14.309945775156748</v>
      </c>
      <c r="BQ99">
        <f t="shared" si="115"/>
        <v>0</v>
      </c>
      <c r="BR99">
        <f t="shared" si="116"/>
        <v>116.26650354368924</v>
      </c>
      <c r="BS99">
        <f t="shared" si="117"/>
        <v>0.34532394910040326</v>
      </c>
      <c r="BT99">
        <f t="shared" si="118"/>
        <v>-1.0101421909227142</v>
      </c>
      <c r="BU99">
        <f t="shared" si="119"/>
        <v>125.45938</v>
      </c>
      <c r="BV99">
        <f t="shared" si="120"/>
        <v>-47.634938999999996</v>
      </c>
      <c r="BW99">
        <f t="shared" si="121"/>
        <v>443.13470149825793</v>
      </c>
      <c r="BX99">
        <f t="shared" si="122"/>
        <v>1595.1817201094814</v>
      </c>
      <c r="BY99">
        <f t="shared" si="123"/>
        <v>2041</v>
      </c>
      <c r="BZ99">
        <v>2038.31641986105</v>
      </c>
      <c r="CD99">
        <v>2054.6317538414601</v>
      </c>
      <c r="CG99">
        <f t="shared" si="124"/>
        <v>255.25231282336659</v>
      </c>
      <c r="CH99">
        <f t="shared" si="125"/>
        <v>201.78259374072883</v>
      </c>
      <c r="CI99">
        <f t="shared" si="126"/>
        <v>188.55544789597852</v>
      </c>
      <c r="CJ99">
        <f t="shared" si="127"/>
        <v>109.95460713101477</v>
      </c>
      <c r="CK99">
        <f t="shared" si="128"/>
        <v>55.771637841316192</v>
      </c>
      <c r="CL99">
        <f t="shared" si="129"/>
        <v>106.49638276334792</v>
      </c>
      <c r="CM99">
        <f t="shared" si="130"/>
        <v>104.74656434325074</v>
      </c>
      <c r="CN99">
        <f t="shared" si="131"/>
        <v>79.857817057398776</v>
      </c>
      <c r="CO99">
        <f t="shared" si="132"/>
        <v>586.70225032816938</v>
      </c>
      <c r="CP99">
        <f t="shared" si="133"/>
        <v>410.86346094818066</v>
      </c>
      <c r="CQ99">
        <f t="shared" si="134"/>
        <v>154.47054866245279</v>
      </c>
      <c r="CR99">
        <f t="shared" si="135"/>
        <v>28.454644809058117</v>
      </c>
      <c r="CS99">
        <f t="shared" si="136"/>
        <v>-50.365784670922721</v>
      </c>
      <c r="CT99">
        <f t="shared" si="137"/>
        <v>23.031313744893158</v>
      </c>
      <c r="CU99">
        <f t="shared" si="138"/>
        <v>0</v>
      </c>
      <c r="CV99">
        <f t="shared" si="139"/>
        <v>77.616650970873735</v>
      </c>
      <c r="CW99">
        <f t="shared" si="140"/>
        <v>-0.14297677731238456</v>
      </c>
      <c r="CX99">
        <f t="shared" si="141"/>
        <v>-493.68969934985762</v>
      </c>
      <c r="CY99">
        <f t="shared" si="142"/>
        <v>4.9809270000000003</v>
      </c>
      <c r="CZ99">
        <f t="shared" si="143"/>
        <v>4.5345959999999996</v>
      </c>
      <c r="DA99">
        <v>8940.5646332455799</v>
      </c>
      <c r="DB99">
        <f t="shared" si="145"/>
        <v>2282099.8005827288</v>
      </c>
      <c r="DC99">
        <f t="shared" si="146"/>
        <v>1804050.321202921</v>
      </c>
      <c r="DD99">
        <f t="shared" si="147"/>
        <v>1685792.1688645652</v>
      </c>
      <c r="DE99">
        <f t="shared" si="148"/>
        <v>983056.27177796292</v>
      </c>
      <c r="DF99">
        <f t="shared" si="149"/>
        <v>498629.93282225239</v>
      </c>
      <c r="DG99">
        <f t="shared" si="150"/>
        <v>952137.79330257268</v>
      </c>
      <c r="DH99">
        <f t="shared" si="151"/>
        <v>936493.42862125009</v>
      </c>
      <c r="DI99">
        <f t="shared" si="152"/>
        <v>713973.97487157513</v>
      </c>
    </row>
    <row r="100" spans="1:113" x14ac:dyDescent="0.3">
      <c r="A100" s="1">
        <v>45965</v>
      </c>
      <c r="B100">
        <v>45</v>
      </c>
      <c r="C100">
        <v>0</v>
      </c>
      <c r="D100">
        <v>0.93203883495145601</v>
      </c>
      <c r="E100">
        <v>-0.74851074817110097</v>
      </c>
      <c r="F100">
        <v>0.66312265824079497</v>
      </c>
      <c r="G100">
        <v>0.98942797152355699</v>
      </c>
      <c r="H100">
        <v>0.99391622027665605</v>
      </c>
      <c r="I100">
        <v>0.91919258178442997</v>
      </c>
      <c r="J100">
        <v>3.49933954387446E-2</v>
      </c>
      <c r="K100">
        <v>20.5960201568098</v>
      </c>
      <c r="L100">
        <v>0.985737972920946</v>
      </c>
      <c r="M100">
        <v>10.7485466327796</v>
      </c>
      <c r="N100">
        <v>9.9641760076737693</v>
      </c>
      <c r="O100">
        <v>0.69225884599804199</v>
      </c>
      <c r="P100">
        <v>4.8766080414335198</v>
      </c>
      <c r="Q100">
        <v>1.02005419761411</v>
      </c>
      <c r="R100">
        <v>0.36405521512274402</v>
      </c>
      <c r="S100">
        <v>0.70547544948200003</v>
      </c>
      <c r="T100">
        <v>0.93514379489546196</v>
      </c>
      <c r="U100">
        <v>12</v>
      </c>
      <c r="V100">
        <v>134</v>
      </c>
      <c r="W100">
        <v>2111</v>
      </c>
      <c r="X100">
        <v>8904.8517437120099</v>
      </c>
      <c r="Y100">
        <f t="shared" si="92"/>
        <v>18798142.030976053</v>
      </c>
      <c r="Z100">
        <f t="shared" si="144"/>
        <v>19.593371907423276</v>
      </c>
      <c r="AA100">
        <f t="shared" si="154"/>
        <v>14.032756299810508</v>
      </c>
      <c r="AB100">
        <f t="shared" si="155"/>
        <v>4.6340434244269524</v>
      </c>
      <c r="AC100">
        <f t="shared" si="156"/>
        <v>5.5994114022816674</v>
      </c>
      <c r="AD100">
        <f t="shared" si="157"/>
        <v>1.6243828268600775</v>
      </c>
      <c r="AE100">
        <f t="shared" si="158"/>
        <v>1.8966808249754552</v>
      </c>
      <c r="AF100">
        <f t="shared" si="159"/>
        <v>4.8595600569707855</v>
      </c>
      <c r="AG100">
        <f t="shared" si="160"/>
        <v>3.3058526511036752</v>
      </c>
      <c r="AH100">
        <f t="shared" ref="AH100:AH107" si="161">PERCENTILE(Z$4:Z$107, 0.6)</f>
        <v>14.752361412031716</v>
      </c>
      <c r="AI100">
        <f t="shared" ref="AI100:AO107" si="162">PERCENTILE(AA$4:AA$107, 0.6)</f>
        <v>6.9687240579263854</v>
      </c>
      <c r="AJ100">
        <f t="shared" si="162"/>
        <v>4.6296050148216619</v>
      </c>
      <c r="AK100">
        <f t="shared" si="162"/>
        <v>3.6948385064954095</v>
      </c>
      <c r="AL100">
        <f t="shared" si="162"/>
        <v>2.5944664113759068</v>
      </c>
      <c r="AM100">
        <f t="shared" si="162"/>
        <v>2.3895751703221002</v>
      </c>
      <c r="AN100">
        <f t="shared" si="162"/>
        <v>6.5870344778956778</v>
      </c>
      <c r="AO100">
        <f t="shared" si="162"/>
        <v>3.6424813908642166</v>
      </c>
      <c r="AP100">
        <f t="shared" si="93"/>
        <v>0.61160435726988815</v>
      </c>
      <c r="AQ100">
        <f t="shared" si="94"/>
        <v>0.7270977119444938</v>
      </c>
      <c r="AR100">
        <f t="shared" si="95"/>
        <v>0.50032340673490205</v>
      </c>
      <c r="AS100">
        <f t="shared" si="96"/>
        <v>0.62706727673246543</v>
      </c>
      <c r="AT100">
        <f t="shared" si="97"/>
        <v>0.35771026461739486</v>
      </c>
      <c r="AU100">
        <f t="shared" si="98"/>
        <v>0.41422771591531748</v>
      </c>
      <c r="AV100">
        <f t="shared" si="99"/>
        <v>0.38787984052027535</v>
      </c>
      <c r="AW100">
        <f t="shared" si="100"/>
        <v>0.46731904066362684</v>
      </c>
      <c r="BC100">
        <f t="shared" si="101"/>
        <v>111.36280633633034</v>
      </c>
      <c r="BD100">
        <f t="shared" si="102"/>
        <v>90.473558652466252</v>
      </c>
      <c r="BE100">
        <f t="shared" si="103"/>
        <v>54.595690901961305</v>
      </c>
      <c r="BF100">
        <f t="shared" si="104"/>
        <v>45.319415630017893</v>
      </c>
      <c r="BG100">
        <f t="shared" si="105"/>
        <v>8.3650963901787385</v>
      </c>
      <c r="BH100">
        <f t="shared" si="106"/>
        <v>50.748630182353239</v>
      </c>
      <c r="BI100">
        <f t="shared" si="107"/>
        <v>35.824830701430407</v>
      </c>
      <c r="BJ100">
        <f t="shared" si="108"/>
        <v>46.927663077858597</v>
      </c>
      <c r="BK100">
        <f t="shared" si="109"/>
        <v>3.5620505239896443</v>
      </c>
      <c r="BL100">
        <f t="shared" si="110"/>
        <v>-1.754010667984568</v>
      </c>
      <c r="BM100">
        <f t="shared" si="111"/>
        <v>17.89339253467039</v>
      </c>
      <c r="BN100">
        <f t="shared" si="112"/>
        <v>0.10569853073780035</v>
      </c>
      <c r="BO100">
        <f t="shared" si="113"/>
        <v>-3.6532451809374695</v>
      </c>
      <c r="BP100">
        <f t="shared" si="114"/>
        <v>-16.704520631333104</v>
      </c>
      <c r="BQ100">
        <f t="shared" si="115"/>
        <v>0</v>
      </c>
      <c r="BR100">
        <f t="shared" si="116"/>
        <v>117.49036147572812</v>
      </c>
      <c r="BS100">
        <f t="shared" si="117"/>
        <v>2.0119634210582786</v>
      </c>
      <c r="BT100">
        <f t="shared" si="118"/>
        <v>-1.012533288238856</v>
      </c>
      <c r="BU100">
        <f t="shared" si="119"/>
        <v>148.77484000000001</v>
      </c>
      <c r="BV100">
        <f t="shared" si="120"/>
        <v>-51.965387999999997</v>
      </c>
      <c r="BW100">
        <f t="shared" si="121"/>
        <v>443.61769187259677</v>
      </c>
      <c r="BX100">
        <f t="shared" si="122"/>
        <v>1614.9978547939204</v>
      </c>
      <c r="BY100">
        <f t="shared" si="123"/>
        <v>2111</v>
      </c>
      <c r="BZ100">
        <v>2058.6155416036299</v>
      </c>
      <c r="CD100">
        <v>2127.4662921211302</v>
      </c>
      <c r="CG100">
        <f t="shared" si="124"/>
        <v>312.41304377091393</v>
      </c>
      <c r="CH100">
        <f t="shared" si="125"/>
        <v>264.80998281404999</v>
      </c>
      <c r="CI100">
        <f t="shared" si="126"/>
        <v>134.22518503849128</v>
      </c>
      <c r="CJ100">
        <f t="shared" si="127"/>
        <v>186.61419630058427</v>
      </c>
      <c r="CK100">
        <f t="shared" si="128"/>
        <v>53.13941549085483</v>
      </c>
      <c r="CL100">
        <f t="shared" si="129"/>
        <v>74.477541034475138</v>
      </c>
      <c r="CM100">
        <f t="shared" si="130"/>
        <v>88.141369673770456</v>
      </c>
      <c r="CN100">
        <f t="shared" si="131"/>
        <v>67.050888755194066</v>
      </c>
      <c r="CO100">
        <f t="shared" si="132"/>
        <v>584.35868104428414</v>
      </c>
      <c r="CP100">
        <f t="shared" si="133"/>
        <v>411.28252598698299</v>
      </c>
      <c r="CQ100">
        <f t="shared" si="134"/>
        <v>155.16744372998008</v>
      </c>
      <c r="CR100">
        <f t="shared" si="135"/>
        <v>15.354610261315216</v>
      </c>
      <c r="CS100">
        <f t="shared" si="136"/>
        <v>-45.808104786258717</v>
      </c>
      <c r="CT100">
        <f t="shared" si="137"/>
        <v>26.885290948215292</v>
      </c>
      <c r="CU100">
        <f t="shared" si="138"/>
        <v>0</v>
      </c>
      <c r="CV100">
        <f t="shared" si="139"/>
        <v>78.433668349514534</v>
      </c>
      <c r="CW100">
        <f t="shared" si="140"/>
        <v>-0.83302663126232923</v>
      </c>
      <c r="CX100">
        <f t="shared" si="141"/>
        <v>-494.8583072208387</v>
      </c>
      <c r="CY100">
        <f t="shared" si="142"/>
        <v>5.9065859999999999</v>
      </c>
      <c r="CZ100">
        <f t="shared" si="143"/>
        <v>4.9468319999999997</v>
      </c>
      <c r="DA100">
        <v>8904.8517437120099</v>
      </c>
      <c r="DB100">
        <f t="shared" si="145"/>
        <v>2781991.8375817994</v>
      </c>
      <c r="DC100">
        <f t="shared" si="146"/>
        <v>2358093.6372140404</v>
      </c>
      <c r="DD100">
        <f t="shared" si="147"/>
        <v>1195255.3730400761</v>
      </c>
      <c r="DE100">
        <f t="shared" si="148"/>
        <v>1661771.7513286732</v>
      </c>
      <c r="DF100">
        <f t="shared" si="149"/>
        <v>473198.61669357563</v>
      </c>
      <c r="DG100">
        <f t="shared" si="150"/>
        <v>663211.46114822873</v>
      </c>
      <c r="DH100">
        <f t="shared" si="151"/>
        <v>784885.82943263976</v>
      </c>
      <c r="DI100">
        <f t="shared" si="152"/>
        <v>597078.22364912985</v>
      </c>
    </row>
    <row r="101" spans="1:113" x14ac:dyDescent="0.3">
      <c r="A101" s="1">
        <v>45972</v>
      </c>
      <c r="B101">
        <v>46</v>
      </c>
      <c r="C101">
        <v>0</v>
      </c>
      <c r="D101">
        <v>0.94174757281553301</v>
      </c>
      <c r="E101">
        <v>-0.66312265824079497</v>
      </c>
      <c r="F101">
        <v>0.74851074817109997</v>
      </c>
      <c r="G101">
        <v>0.98643623104075195</v>
      </c>
      <c r="H101">
        <v>0.99813866586059796</v>
      </c>
      <c r="I101">
        <v>0.91073315081529005</v>
      </c>
      <c r="J101">
        <v>4.1299562395950097E-2</v>
      </c>
      <c r="K101">
        <v>6.4450876223346603</v>
      </c>
      <c r="L101">
        <v>0.98765344416924306</v>
      </c>
      <c r="M101">
        <v>5.1746208376004299</v>
      </c>
      <c r="N101">
        <v>2.6388605075384399</v>
      </c>
      <c r="O101">
        <v>4.0388260457454699</v>
      </c>
      <c r="P101">
        <v>1.07123440044761</v>
      </c>
      <c r="Q101">
        <v>0.356458428990655</v>
      </c>
      <c r="R101">
        <v>0.78537370149103702</v>
      </c>
      <c r="S101">
        <v>1.9755852271338099</v>
      </c>
      <c r="T101">
        <v>0.28565359897758202</v>
      </c>
      <c r="U101">
        <v>11</v>
      </c>
      <c r="V101">
        <v>108</v>
      </c>
      <c r="W101">
        <v>1995</v>
      </c>
      <c r="X101">
        <v>8877.9260793667709</v>
      </c>
      <c r="Y101">
        <f t="shared" si="92"/>
        <v>17711462.528336708</v>
      </c>
      <c r="Z101">
        <f t="shared" si="144"/>
        <v>16.930643982054395</v>
      </c>
      <c r="AA101">
        <f t="shared" si="154"/>
        <v>9.655238657443693</v>
      </c>
      <c r="AB101">
        <f t="shared" si="155"/>
        <v>6.1241455867375985</v>
      </c>
      <c r="AC101">
        <f t="shared" si="156"/>
        <v>2.7510578211321102</v>
      </c>
      <c r="AD101">
        <f t="shared" si="157"/>
        <v>0.924992418391682</v>
      </c>
      <c r="AE101">
        <f t="shared" si="158"/>
        <v>1.7337141139787646</v>
      </c>
      <c r="AF101">
        <f t="shared" si="159"/>
        <v>5.3772772670133593</v>
      </c>
      <c r="AG101">
        <f t="shared" si="160"/>
        <v>2.1038725570846037</v>
      </c>
      <c r="AH101">
        <f t="shared" si="161"/>
        <v>14.752361412031716</v>
      </c>
      <c r="AI101">
        <f t="shared" si="162"/>
        <v>6.9687240579263854</v>
      </c>
      <c r="AJ101">
        <f t="shared" si="162"/>
        <v>4.6296050148216619</v>
      </c>
      <c r="AK101">
        <f t="shared" si="162"/>
        <v>3.6948385064954095</v>
      </c>
      <c r="AL101">
        <f t="shared" si="162"/>
        <v>2.5944664113759068</v>
      </c>
      <c r="AM101">
        <f t="shared" si="162"/>
        <v>2.3895751703221002</v>
      </c>
      <c r="AN101">
        <f t="shared" si="162"/>
        <v>6.5870344778956778</v>
      </c>
      <c r="AO101">
        <f t="shared" si="162"/>
        <v>3.6424813908642166</v>
      </c>
      <c r="AP101">
        <f t="shared" si="93"/>
        <v>0.55486699425897434</v>
      </c>
      <c r="AQ101">
        <f t="shared" si="94"/>
        <v>0.61218257378614083</v>
      </c>
      <c r="AR101">
        <f t="shared" si="95"/>
        <v>0.59331496732381284</v>
      </c>
      <c r="AS101">
        <f t="shared" si="96"/>
        <v>0.40885779875352124</v>
      </c>
      <c r="AT101">
        <f t="shared" si="97"/>
        <v>0.2159902371907988</v>
      </c>
      <c r="AU101">
        <f t="shared" si="98"/>
        <v>0.38195123828447253</v>
      </c>
      <c r="AV101">
        <f t="shared" si="99"/>
        <v>0.42448671000172855</v>
      </c>
      <c r="AW101">
        <f t="shared" si="100"/>
        <v>0.32278653107386518</v>
      </c>
      <c r="BC101">
        <f t="shared" si="101"/>
        <v>101.03189241475035</v>
      </c>
      <c r="BD101">
        <f t="shared" si="102"/>
        <v>76.174543098667215</v>
      </c>
      <c r="BE101">
        <f t="shared" si="103"/>
        <v>64.743004479663284</v>
      </c>
      <c r="BF101">
        <f t="shared" si="104"/>
        <v>29.548976964381467</v>
      </c>
      <c r="BG101">
        <f t="shared" si="105"/>
        <v>5.0509569675645816</v>
      </c>
      <c r="BH101">
        <f t="shared" si="106"/>
        <v>46.794314804741937</v>
      </c>
      <c r="BI101">
        <f t="shared" si="107"/>
        <v>39.205864631740759</v>
      </c>
      <c r="BJ101">
        <f t="shared" si="108"/>
        <v>32.413867739680299</v>
      </c>
      <c r="BK101">
        <f t="shared" si="109"/>
        <v>3.5512799261683528</v>
      </c>
      <c r="BL101">
        <f t="shared" si="110"/>
        <v>-1.7614622161614928</v>
      </c>
      <c r="BM101">
        <f t="shared" si="111"/>
        <v>17.72871766462638</v>
      </c>
      <c r="BN101">
        <f t="shared" si="112"/>
        <v>0.12474648460471435</v>
      </c>
      <c r="BO101">
        <f t="shared" si="113"/>
        <v>-3.2364928112359741</v>
      </c>
      <c r="BP101">
        <f t="shared" si="114"/>
        <v>-18.855505961399988</v>
      </c>
      <c r="BQ101">
        <f t="shared" si="115"/>
        <v>0</v>
      </c>
      <c r="BR101">
        <f t="shared" si="116"/>
        <v>118.71421940776686</v>
      </c>
      <c r="BS101">
        <f t="shared" si="117"/>
        <v>0.62960127456300596</v>
      </c>
      <c r="BT101">
        <f t="shared" si="118"/>
        <v>-1.0145008277420955</v>
      </c>
      <c r="BU101">
        <f t="shared" si="119"/>
        <v>119.90808</v>
      </c>
      <c r="BV101">
        <f t="shared" si="120"/>
        <v>-47.634938999999996</v>
      </c>
      <c r="BW101">
        <f t="shared" si="121"/>
        <v>394.96342110118985</v>
      </c>
      <c r="BX101">
        <f t="shared" si="122"/>
        <v>1588.4029900174198</v>
      </c>
      <c r="BY101">
        <f t="shared" si="123"/>
        <v>1995</v>
      </c>
      <c r="BZ101">
        <v>1983.36640879845</v>
      </c>
      <c r="CD101">
        <v>1986.2417936306999</v>
      </c>
      <c r="CG101">
        <f t="shared" si="124"/>
        <v>283.43108498811711</v>
      </c>
      <c r="CH101">
        <f t="shared" si="125"/>
        <v>222.95773206303858</v>
      </c>
      <c r="CI101">
        <f t="shared" si="126"/>
        <v>159.17266752491059</v>
      </c>
      <c r="CJ101">
        <f t="shared" si="127"/>
        <v>121.67541242654696</v>
      </c>
      <c r="CK101">
        <f t="shared" si="128"/>
        <v>32.086289076234706</v>
      </c>
      <c r="CL101">
        <f t="shared" si="129"/>
        <v>68.67427728644769</v>
      </c>
      <c r="CM101">
        <f t="shared" si="130"/>
        <v>96.45987267004972</v>
      </c>
      <c r="CN101">
        <f t="shared" si="131"/>
        <v>46.313378877038531</v>
      </c>
      <c r="CO101">
        <f t="shared" si="132"/>
        <v>582.5917514921847</v>
      </c>
      <c r="CP101">
        <f t="shared" si="133"/>
        <v>413.02977394428348</v>
      </c>
      <c r="CQ101">
        <f t="shared" si="134"/>
        <v>153.73942058781822</v>
      </c>
      <c r="CR101">
        <f t="shared" si="135"/>
        <v>18.121667720491239</v>
      </c>
      <c r="CS101">
        <f t="shared" si="136"/>
        <v>-40.582439582942463</v>
      </c>
      <c r="CT101">
        <f t="shared" si="137"/>
        <v>30.347220069109557</v>
      </c>
      <c r="CU101">
        <f t="shared" si="138"/>
        <v>0</v>
      </c>
      <c r="CV101">
        <f t="shared" si="139"/>
        <v>79.250685728155247</v>
      </c>
      <c r="CW101">
        <f t="shared" si="140"/>
        <v>-0.26067801397294771</v>
      </c>
      <c r="CX101">
        <f t="shared" si="141"/>
        <v>-495.81990846325982</v>
      </c>
      <c r="CY101">
        <f t="shared" si="142"/>
        <v>4.7605320000000004</v>
      </c>
      <c r="CZ101">
        <f t="shared" si="143"/>
        <v>4.5345959999999996</v>
      </c>
      <c r="DA101">
        <v>8877.9260793667709</v>
      </c>
      <c r="DB101">
        <f t="shared" si="145"/>
        <v>2516280.2211192246</v>
      </c>
      <c r="DC101">
        <f t="shared" si="146"/>
        <v>1979402.2640789191</v>
      </c>
      <c r="DD101">
        <f t="shared" si="147"/>
        <v>1413123.1761417801</v>
      </c>
      <c r="DE101">
        <f t="shared" si="148"/>
        <v>1080225.3171993489</v>
      </c>
      <c r="DF101">
        <f t="shared" si="149"/>
        <v>284859.70258000522</v>
      </c>
      <c r="DG101">
        <f t="shared" si="150"/>
        <v>609685.15730301908</v>
      </c>
      <c r="DH101">
        <f t="shared" si="151"/>
        <v>856363.61918983248</v>
      </c>
      <c r="DI101">
        <f t="shared" si="152"/>
        <v>411166.75415605452</v>
      </c>
    </row>
    <row r="102" spans="1:113" x14ac:dyDescent="0.3">
      <c r="A102" s="1">
        <v>45979</v>
      </c>
      <c r="B102">
        <v>47</v>
      </c>
      <c r="C102">
        <v>0</v>
      </c>
      <c r="D102">
        <v>0.95145631067961101</v>
      </c>
      <c r="E102">
        <v>-0.56806474673115503</v>
      </c>
      <c r="F102">
        <v>0.82298386589365602</v>
      </c>
      <c r="G102">
        <v>0.98763555372092204</v>
      </c>
      <c r="H102">
        <v>0.99841042058130303</v>
      </c>
      <c r="I102">
        <v>0.91937388487838301</v>
      </c>
      <c r="J102">
        <v>1.29799479511902E-2</v>
      </c>
      <c r="K102">
        <v>9.1268674055603807</v>
      </c>
      <c r="L102">
        <v>0.98615150702010801</v>
      </c>
      <c r="M102">
        <v>11.227389566946</v>
      </c>
      <c r="N102">
        <v>1.2762740824960299</v>
      </c>
      <c r="O102">
        <v>1.8559858623685801</v>
      </c>
      <c r="P102">
        <v>4.3931443707113598</v>
      </c>
      <c r="Q102">
        <v>0.341303583813928</v>
      </c>
      <c r="R102">
        <v>0.29335282130403401</v>
      </c>
      <c r="S102">
        <v>5.4578812256024802</v>
      </c>
      <c r="T102">
        <v>0.50452155459760795</v>
      </c>
      <c r="U102">
        <v>9</v>
      </c>
      <c r="V102">
        <v>119</v>
      </c>
      <c r="W102">
        <v>2040</v>
      </c>
      <c r="X102">
        <v>8888.7199834882995</v>
      </c>
      <c r="Y102">
        <f t="shared" si="92"/>
        <v>18132988.766316131</v>
      </c>
      <c r="Z102">
        <f t="shared" si="144"/>
        <v>21.385775956178637</v>
      </c>
      <c r="AA102">
        <f t="shared" si="154"/>
        <v>6.1038934112178769</v>
      </c>
      <c r="AB102">
        <f t="shared" si="155"/>
        <v>4.6118513764004998</v>
      </c>
      <c r="AC102">
        <f t="shared" si="156"/>
        <v>5.2184617170509924</v>
      </c>
      <c r="AD102">
        <f t="shared" si="157"/>
        <v>0.66505093025101669</v>
      </c>
      <c r="AE102">
        <f t="shared" si="158"/>
        <v>1.1602098782934163</v>
      </c>
      <c r="AF102">
        <f t="shared" si="159"/>
        <v>9.221975312511832</v>
      </c>
      <c r="AG102">
        <f t="shared" si="160"/>
        <v>1.6616514609941402</v>
      </c>
      <c r="AH102">
        <f t="shared" si="161"/>
        <v>14.752361412031716</v>
      </c>
      <c r="AI102">
        <f t="shared" si="162"/>
        <v>6.9687240579263854</v>
      </c>
      <c r="AJ102">
        <f t="shared" si="162"/>
        <v>4.6296050148216619</v>
      </c>
      <c r="AK102">
        <f t="shared" si="162"/>
        <v>3.6948385064954095</v>
      </c>
      <c r="AL102">
        <f t="shared" si="162"/>
        <v>2.5944664113759068</v>
      </c>
      <c r="AM102">
        <f t="shared" si="162"/>
        <v>2.3895751703221002</v>
      </c>
      <c r="AN102">
        <f t="shared" si="162"/>
        <v>6.5870344778956778</v>
      </c>
      <c r="AO102">
        <f t="shared" si="162"/>
        <v>3.6424813908642166</v>
      </c>
      <c r="AP102">
        <f t="shared" si="93"/>
        <v>0.64430912108118743</v>
      </c>
      <c r="AQ102">
        <f t="shared" si="94"/>
        <v>0.45375568117457904</v>
      </c>
      <c r="AR102">
        <f t="shared" si="95"/>
        <v>0.49870326782906527</v>
      </c>
      <c r="AS102">
        <f t="shared" si="96"/>
        <v>0.60625143795362135</v>
      </c>
      <c r="AT102">
        <f t="shared" si="97"/>
        <v>0.15425762990065783</v>
      </c>
      <c r="AU102">
        <f t="shared" si="98"/>
        <v>0.25279286115296684</v>
      </c>
      <c r="AV102">
        <f t="shared" si="99"/>
        <v>0.62357002301220077</v>
      </c>
      <c r="AW102">
        <f t="shared" si="100"/>
        <v>0.25739511531907228</v>
      </c>
      <c r="BC102">
        <f t="shared" si="101"/>
        <v>117.31779052717377</v>
      </c>
      <c r="BD102">
        <f t="shared" si="102"/>
        <v>56.461312640978306</v>
      </c>
      <c r="BE102">
        <f t="shared" si="103"/>
        <v>54.418900046825136</v>
      </c>
      <c r="BF102">
        <f t="shared" si="104"/>
        <v>43.815013017555692</v>
      </c>
      <c r="BG102">
        <f t="shared" si="105"/>
        <v>3.607332723369582</v>
      </c>
      <c r="BH102">
        <f t="shared" si="106"/>
        <v>30.970625408401101</v>
      </c>
      <c r="BI102">
        <f t="shared" si="107"/>
        <v>57.593327033791617</v>
      </c>
      <c r="BJ102">
        <f t="shared" si="108"/>
        <v>25.847333830924157</v>
      </c>
      <c r="BK102">
        <f t="shared" si="109"/>
        <v>3.5555976209417826</v>
      </c>
      <c r="BL102">
        <f t="shared" si="110"/>
        <v>-1.7619417944895928</v>
      </c>
      <c r="BM102">
        <f t="shared" si="111"/>
        <v>17.896921857569794</v>
      </c>
      <c r="BN102">
        <f t="shared" si="112"/>
        <v>3.9206296225112632E-2</v>
      </c>
      <c r="BO102">
        <f t="shared" si="113"/>
        <v>-2.7725450883995473</v>
      </c>
      <c r="BP102">
        <f t="shared" si="114"/>
        <v>-20.731535555647991</v>
      </c>
      <c r="BQ102">
        <f t="shared" si="115"/>
        <v>0</v>
      </c>
      <c r="BR102">
        <f t="shared" si="116"/>
        <v>119.93807733980574</v>
      </c>
      <c r="BS102">
        <f t="shared" si="117"/>
        <v>0.89157629624697687</v>
      </c>
      <c r="BT102">
        <f t="shared" si="118"/>
        <v>-1.0129580634354356</v>
      </c>
      <c r="BU102">
        <f t="shared" si="119"/>
        <v>132.12093999999999</v>
      </c>
      <c r="BV102">
        <f t="shared" si="120"/>
        <v>-38.974041</v>
      </c>
      <c r="BW102">
        <f t="shared" si="121"/>
        <v>390.03163522901934</v>
      </c>
      <c r="BX102">
        <f t="shared" si="122"/>
        <v>1609.4385439850469</v>
      </c>
      <c r="BY102">
        <f t="shared" si="123"/>
        <v>2040</v>
      </c>
      <c r="BZ102">
        <v>1999.47017686714</v>
      </c>
      <c r="CD102">
        <v>2010.8691733421199</v>
      </c>
      <c r="CG102">
        <f t="shared" si="124"/>
        <v>329.11893326736191</v>
      </c>
      <c r="CH102">
        <f t="shared" si="125"/>
        <v>165.25844072906489</v>
      </c>
      <c r="CI102">
        <f t="shared" si="126"/>
        <v>133.79053928437162</v>
      </c>
      <c r="CJ102">
        <f t="shared" si="127"/>
        <v>180.41943671389666</v>
      </c>
      <c r="CK102">
        <f t="shared" si="128"/>
        <v>22.915641788175158</v>
      </c>
      <c r="CL102">
        <f t="shared" si="129"/>
        <v>45.45178887448332</v>
      </c>
      <c r="CM102">
        <f t="shared" si="130"/>
        <v>141.69933617090609</v>
      </c>
      <c r="CN102">
        <f t="shared" si="131"/>
        <v>36.931025149073839</v>
      </c>
      <c r="CO102">
        <f t="shared" si="132"/>
        <v>583.30007452296741</v>
      </c>
      <c r="CP102">
        <f t="shared" si="133"/>
        <v>413.14222604608068</v>
      </c>
      <c r="CQ102">
        <f t="shared" si="134"/>
        <v>155.19804921808617</v>
      </c>
      <c r="CR102">
        <f t="shared" si="135"/>
        <v>5.6954187927135456</v>
      </c>
      <c r="CS102">
        <f t="shared" si="136"/>
        <v>-34.764991026811479</v>
      </c>
      <c r="CT102">
        <f t="shared" si="137"/>
        <v>33.366618385408003</v>
      </c>
      <c r="CU102">
        <f t="shared" si="138"/>
        <v>0</v>
      </c>
      <c r="CV102">
        <f t="shared" si="139"/>
        <v>80.06770310679606</v>
      </c>
      <c r="CW102">
        <f t="shared" si="140"/>
        <v>-0.36914527908529521</v>
      </c>
      <c r="CX102">
        <f t="shared" si="141"/>
        <v>-495.06590882482578</v>
      </c>
      <c r="CY102">
        <f t="shared" si="142"/>
        <v>5.2454010000000002</v>
      </c>
      <c r="CZ102">
        <f t="shared" si="143"/>
        <v>3.710124</v>
      </c>
      <c r="DA102">
        <v>8888.7199834882995</v>
      </c>
      <c r="DB102">
        <f t="shared" si="145"/>
        <v>2925446.039077952</v>
      </c>
      <c r="DC102">
        <f t="shared" si="146"/>
        <v>1468936.0045485557</v>
      </c>
      <c r="DD102">
        <f t="shared" si="147"/>
        <v>1189226.6401386703</v>
      </c>
      <c r="DE102">
        <f t="shared" si="148"/>
        <v>1603697.8525285157</v>
      </c>
      <c r="DF102">
        <f t="shared" si="149"/>
        <v>203690.72309701209</v>
      </c>
      <c r="DG102">
        <f t="shared" si="150"/>
        <v>404008.22405391105</v>
      </c>
      <c r="DH102">
        <f t="shared" si="151"/>
        <v>1259525.7210693595</v>
      </c>
      <c r="DI102">
        <f t="shared" si="152"/>
        <v>328269.54125328158</v>
      </c>
    </row>
    <row r="103" spans="1:113" x14ac:dyDescent="0.3">
      <c r="A103" s="1">
        <v>45986</v>
      </c>
      <c r="B103">
        <v>48</v>
      </c>
      <c r="C103">
        <v>0</v>
      </c>
      <c r="D103">
        <v>0.961165048543689</v>
      </c>
      <c r="E103">
        <v>-0.46472317204376801</v>
      </c>
      <c r="F103">
        <v>0.88545602565321002</v>
      </c>
      <c r="G103">
        <v>0.98491911655484199</v>
      </c>
      <c r="H103">
        <v>1.0003422369611299</v>
      </c>
      <c r="I103">
        <v>0.93717520322854297</v>
      </c>
      <c r="J103">
        <v>1.17887293984067E-2</v>
      </c>
      <c r="K103">
        <v>7.3061450948495601</v>
      </c>
      <c r="L103">
        <v>0.98867688633441497</v>
      </c>
      <c r="M103">
        <v>2.5303425596009199</v>
      </c>
      <c r="N103">
        <v>0.96077503108977003</v>
      </c>
      <c r="O103">
        <v>1.1748721042615</v>
      </c>
      <c r="P103">
        <v>1.57892186236406</v>
      </c>
      <c r="Q103">
        <v>0.79674424518660802</v>
      </c>
      <c r="R103">
        <v>0.56303104897340295</v>
      </c>
      <c r="S103">
        <v>1.5735944456256299</v>
      </c>
      <c r="T103">
        <v>0.87709746707412295</v>
      </c>
      <c r="U103">
        <v>11</v>
      </c>
      <c r="V103">
        <v>126</v>
      </c>
      <c r="W103">
        <v>1835</v>
      </c>
      <c r="X103">
        <v>8864.27204899358</v>
      </c>
      <c r="Y103">
        <f t="shared" si="92"/>
        <v>16265939.20990322</v>
      </c>
      <c r="Z103">
        <f t="shared" si="144"/>
        <v>15.361808133308102</v>
      </c>
      <c r="AA103">
        <f t="shared" si="154"/>
        <v>4.0127217366987082</v>
      </c>
      <c r="AB103">
        <f t="shared" si="155"/>
        <v>3.2502052236417249</v>
      </c>
      <c r="AC103">
        <f t="shared" si="156"/>
        <v>3.1444603774793576</v>
      </c>
      <c r="AD103">
        <f t="shared" si="157"/>
        <v>1.0295120707744638</v>
      </c>
      <c r="AE103">
        <f t="shared" si="158"/>
        <v>1.1431359881201111</v>
      </c>
      <c r="AF103">
        <f t="shared" si="159"/>
        <v>8.0289771643839121</v>
      </c>
      <c r="AG103">
        <f t="shared" si="160"/>
        <v>1.7910057706209002</v>
      </c>
      <c r="AH103">
        <f t="shared" si="161"/>
        <v>14.752361412031716</v>
      </c>
      <c r="AI103">
        <f t="shared" si="162"/>
        <v>6.9687240579263854</v>
      </c>
      <c r="AJ103">
        <f t="shared" si="162"/>
        <v>4.6296050148216619</v>
      </c>
      <c r="AK103">
        <f t="shared" si="162"/>
        <v>3.6948385064954095</v>
      </c>
      <c r="AL103">
        <f t="shared" si="162"/>
        <v>2.5944664113759068</v>
      </c>
      <c r="AM103">
        <f t="shared" si="162"/>
        <v>2.3895751703221002</v>
      </c>
      <c r="AN103">
        <f t="shared" si="162"/>
        <v>6.5870344778956778</v>
      </c>
      <c r="AO103">
        <f t="shared" si="162"/>
        <v>3.6424813908642166</v>
      </c>
      <c r="AP103">
        <f t="shared" si="93"/>
        <v>0.51618685037042111</v>
      </c>
      <c r="AQ103">
        <f t="shared" si="94"/>
        <v>0.31588509771869366</v>
      </c>
      <c r="AR103">
        <f t="shared" si="95"/>
        <v>0.38282678124521291</v>
      </c>
      <c r="AS103">
        <f t="shared" si="96"/>
        <v>0.44976550587375941</v>
      </c>
      <c r="AT103">
        <f t="shared" si="97"/>
        <v>0.23950962041963222</v>
      </c>
      <c r="AU103">
        <f t="shared" si="98"/>
        <v>0.24861542742058271</v>
      </c>
      <c r="AV103">
        <f t="shared" si="99"/>
        <v>0.57369206641266457</v>
      </c>
      <c r="AW103">
        <f t="shared" si="100"/>
        <v>0.27720896711189458</v>
      </c>
      <c r="BC103">
        <f t="shared" si="101"/>
        <v>93.988892603319115</v>
      </c>
      <c r="BD103">
        <f t="shared" si="102"/>
        <v>39.305926076238272</v>
      </c>
      <c r="BE103">
        <f t="shared" si="103"/>
        <v>41.774365013729408</v>
      </c>
      <c r="BF103">
        <f t="shared" si="104"/>
        <v>32.505459386990928</v>
      </c>
      <c r="BG103">
        <f t="shared" si="105"/>
        <v>5.600960496138689</v>
      </c>
      <c r="BH103">
        <f t="shared" si="106"/>
        <v>30.458831939614022</v>
      </c>
      <c r="BI103">
        <f t="shared" si="107"/>
        <v>52.986566990488271</v>
      </c>
      <c r="BJ103">
        <f t="shared" si="108"/>
        <v>27.837018993094695</v>
      </c>
      <c r="BK103">
        <f t="shared" si="109"/>
        <v>3.5458181456193687</v>
      </c>
      <c r="BL103">
        <f t="shared" si="110"/>
        <v>-1.7653509616504433</v>
      </c>
      <c r="BM103">
        <f t="shared" si="111"/>
        <v>18.243449868332988</v>
      </c>
      <c r="BN103">
        <f t="shared" si="112"/>
        <v>3.5608187232310594E-2</v>
      </c>
      <c r="BO103">
        <f t="shared" si="113"/>
        <v>-2.2681674149464377</v>
      </c>
      <c r="BP103">
        <f t="shared" si="114"/>
        <v>-22.305252678142192</v>
      </c>
      <c r="BQ103">
        <f t="shared" si="115"/>
        <v>0</v>
      </c>
      <c r="BR103">
        <f t="shared" si="116"/>
        <v>121.16193527184463</v>
      </c>
      <c r="BS103">
        <f t="shared" si="117"/>
        <v>0.71371539588056898</v>
      </c>
      <c r="BT103">
        <f t="shared" si="118"/>
        <v>-1.0155520901356434</v>
      </c>
      <c r="BU103">
        <f t="shared" si="119"/>
        <v>139.89276000000001</v>
      </c>
      <c r="BV103">
        <f t="shared" si="120"/>
        <v>-47.634938999999996</v>
      </c>
      <c r="BW103">
        <f t="shared" si="121"/>
        <v>324.45802149961344</v>
      </c>
      <c r="BX103">
        <f t="shared" si="122"/>
        <v>1608.8532708002651</v>
      </c>
      <c r="BY103">
        <f t="shared" si="123"/>
        <v>1835</v>
      </c>
      <c r="BZ103">
        <v>1933.3112903132201</v>
      </c>
      <c r="CD103">
        <v>1832.2662150435999</v>
      </c>
      <c r="CG103">
        <f t="shared" si="124"/>
        <v>263.67291724114119</v>
      </c>
      <c r="CH103">
        <f t="shared" si="125"/>
        <v>115.04578535173211</v>
      </c>
      <c r="CI103">
        <f t="shared" si="126"/>
        <v>102.70356105397089</v>
      </c>
      <c r="CJ103">
        <f t="shared" si="127"/>
        <v>133.84947918142871</v>
      </c>
      <c r="CK103">
        <f t="shared" si="128"/>
        <v>35.58019574067557</v>
      </c>
      <c r="CL103">
        <f t="shared" si="129"/>
        <v>44.700692363389301</v>
      </c>
      <c r="CM103">
        <f t="shared" si="130"/>
        <v>130.36512657312167</v>
      </c>
      <c r="CN103">
        <f t="shared" si="131"/>
        <v>39.773914603108956</v>
      </c>
      <c r="CO103">
        <f t="shared" si="132"/>
        <v>581.69573981119856</v>
      </c>
      <c r="CP103">
        <f t="shared" si="133"/>
        <v>413.94161165246214</v>
      </c>
      <c r="CQ103">
        <f t="shared" si="134"/>
        <v>158.20306157148843</v>
      </c>
      <c r="CR103">
        <f t="shared" si="135"/>
        <v>5.1727288283728123</v>
      </c>
      <c r="CS103">
        <f t="shared" si="136"/>
        <v>-28.440590617567526</v>
      </c>
      <c r="CT103">
        <f t="shared" si="137"/>
        <v>35.899456270566048</v>
      </c>
      <c r="CU103">
        <f t="shared" si="138"/>
        <v>0</v>
      </c>
      <c r="CV103">
        <f t="shared" si="139"/>
        <v>80.884720485436858</v>
      </c>
      <c r="CW103">
        <f t="shared" si="140"/>
        <v>-0.29550434450628532</v>
      </c>
      <c r="CX103">
        <f t="shared" si="141"/>
        <v>-496.3336949575496</v>
      </c>
      <c r="CY103">
        <f t="shared" si="142"/>
        <v>5.5539540000000001</v>
      </c>
      <c r="CZ103">
        <f t="shared" si="143"/>
        <v>4.5345959999999996</v>
      </c>
      <c r="DA103">
        <v>8864.27204899358</v>
      </c>
      <c r="DB103">
        <f t="shared" si="145"/>
        <v>2337268.4703772455</v>
      </c>
      <c r="DC103">
        <f t="shared" si="146"/>
        <v>1019797.1394478739</v>
      </c>
      <c r="DD103">
        <f t="shared" si="147"/>
        <v>910392.30558281974</v>
      </c>
      <c r="DE103">
        <f t="shared" si="148"/>
        <v>1186478.1970802865</v>
      </c>
      <c r="DF103">
        <f t="shared" si="149"/>
        <v>315392.53460179089</v>
      </c>
      <c r="DG103">
        <f t="shared" si="150"/>
        <v>396239.09788745258</v>
      </c>
      <c r="DH103">
        <f t="shared" si="151"/>
        <v>1155591.9476456326</v>
      </c>
      <c r="DI103">
        <f t="shared" si="152"/>
        <v>352566.79949539632</v>
      </c>
    </row>
    <row r="104" spans="1:113" x14ac:dyDescent="0.3">
      <c r="A104" s="1">
        <v>45993</v>
      </c>
      <c r="B104">
        <v>49</v>
      </c>
      <c r="C104">
        <v>0</v>
      </c>
      <c r="D104">
        <v>0.970873786407766</v>
      </c>
      <c r="E104">
        <v>-0.35460488704253501</v>
      </c>
      <c r="F104">
        <v>0.93501624268541395</v>
      </c>
      <c r="G104">
        <v>0.983784628892724</v>
      </c>
      <c r="H104">
        <v>0.99419172065803996</v>
      </c>
      <c r="I104">
        <v>0.93145762038104196</v>
      </c>
      <c r="J104">
        <v>1.9143871016281601E-2</v>
      </c>
      <c r="K104">
        <v>7.2851035132402497</v>
      </c>
      <c r="L104">
        <v>0.98788042157758205</v>
      </c>
      <c r="M104">
        <v>6.0385279972495702</v>
      </c>
      <c r="N104">
        <v>2.2308742342993599</v>
      </c>
      <c r="O104">
        <v>2.31773567651293</v>
      </c>
      <c r="P104">
        <v>0.79538601321886204</v>
      </c>
      <c r="Q104">
        <v>0.83921564102247403</v>
      </c>
      <c r="R104">
        <v>0.64566087069519096</v>
      </c>
      <c r="S104">
        <v>1.63661026603524</v>
      </c>
      <c r="T104">
        <v>0.31896152633555902</v>
      </c>
      <c r="U104">
        <v>13</v>
      </c>
      <c r="V104">
        <v>106</v>
      </c>
      <c r="W104">
        <v>1774</v>
      </c>
      <c r="X104">
        <v>8854.0616600345202</v>
      </c>
      <c r="Y104">
        <f t="shared" si="92"/>
        <v>15707105.384901239</v>
      </c>
      <c r="Z104">
        <f t="shared" si="144"/>
        <v>15.255612877234432</v>
      </c>
      <c r="AA104">
        <f t="shared" si="154"/>
        <v>4.2372351026487145</v>
      </c>
      <c r="AB104">
        <f t="shared" si="155"/>
        <v>3.7803280271517066</v>
      </c>
      <c r="AC104">
        <f t="shared" si="156"/>
        <v>1.7387241264626692</v>
      </c>
      <c r="AD104">
        <f t="shared" si="157"/>
        <v>1.1995448657935364</v>
      </c>
      <c r="AE104">
        <f t="shared" si="158"/>
        <v>1.2172288647552465</v>
      </c>
      <c r="AF104">
        <f t="shared" si="159"/>
        <v>7.2568942811039783</v>
      </c>
      <c r="AG104">
        <f t="shared" si="160"/>
        <v>1.3040147001770541</v>
      </c>
      <c r="AH104">
        <f t="shared" si="161"/>
        <v>14.752361412031716</v>
      </c>
      <c r="AI104">
        <f t="shared" si="162"/>
        <v>6.9687240579263854</v>
      </c>
      <c r="AJ104">
        <f t="shared" si="162"/>
        <v>4.6296050148216619</v>
      </c>
      <c r="AK104">
        <f t="shared" si="162"/>
        <v>3.6948385064954095</v>
      </c>
      <c r="AL104">
        <f t="shared" si="162"/>
        <v>2.5944664113759068</v>
      </c>
      <c r="AM104">
        <f t="shared" si="162"/>
        <v>2.3895751703221002</v>
      </c>
      <c r="AN104">
        <f t="shared" si="162"/>
        <v>6.5870344778956778</v>
      </c>
      <c r="AO104">
        <f t="shared" si="162"/>
        <v>3.6424813908642166</v>
      </c>
      <c r="AP104">
        <f t="shared" si="93"/>
        <v>0.51341451090002754</v>
      </c>
      <c r="AQ104">
        <f t="shared" si="94"/>
        <v>0.33258209477388867</v>
      </c>
      <c r="AR104">
        <f t="shared" si="95"/>
        <v>0.43202546834259947</v>
      </c>
      <c r="AS104">
        <f t="shared" si="96"/>
        <v>0.2804497943290899</v>
      </c>
      <c r="AT104">
        <f t="shared" si="97"/>
        <v>0.27601842266075272</v>
      </c>
      <c r="AU104">
        <f t="shared" si="98"/>
        <v>0.26662614857584055</v>
      </c>
      <c r="AV104">
        <f t="shared" si="99"/>
        <v>0.5362545276652112</v>
      </c>
      <c r="AW104">
        <f t="shared" si="100"/>
        <v>0.19992814612462667</v>
      </c>
      <c r="BC104">
        <f t="shared" si="101"/>
        <v>93.484096488199597</v>
      </c>
      <c r="BD104">
        <f t="shared" si="102"/>
        <v>41.383551569451988</v>
      </c>
      <c r="BE104">
        <f t="shared" si="103"/>
        <v>47.142965157944595</v>
      </c>
      <c r="BF104">
        <f t="shared" si="104"/>
        <v>20.268671742498899</v>
      </c>
      <c r="BG104">
        <f t="shared" si="105"/>
        <v>6.4547231080771539</v>
      </c>
      <c r="BH104">
        <f t="shared" si="106"/>
        <v>32.665394639567502</v>
      </c>
      <c r="BI104">
        <f t="shared" si="107"/>
        <v>49.528811914311142</v>
      </c>
      <c r="BJ104">
        <f t="shared" si="108"/>
        <v>20.07656411301798</v>
      </c>
      <c r="BK104">
        <f t="shared" si="109"/>
        <v>3.5417338641076137</v>
      </c>
      <c r="BL104">
        <f t="shared" si="110"/>
        <v>-1.7544968564561141</v>
      </c>
      <c r="BM104">
        <f t="shared" si="111"/>
        <v>18.132148976368406</v>
      </c>
      <c r="BN104">
        <f t="shared" si="112"/>
        <v>5.7824598433067032E-2</v>
      </c>
      <c r="BO104">
        <f t="shared" si="113"/>
        <v>-1.730714753115195</v>
      </c>
      <c r="BP104">
        <f t="shared" si="114"/>
        <v>-23.553708989534247</v>
      </c>
      <c r="BQ104">
        <f t="shared" si="115"/>
        <v>0</v>
      </c>
      <c r="BR104">
        <f t="shared" si="116"/>
        <v>122.38579320388337</v>
      </c>
      <c r="BS104">
        <f t="shared" si="117"/>
        <v>0.71165990689790026</v>
      </c>
      <c r="BT104">
        <f t="shared" si="118"/>
        <v>-1.0147339750773254</v>
      </c>
      <c r="BU104">
        <f t="shared" si="119"/>
        <v>117.68756</v>
      </c>
      <c r="BV104">
        <f t="shared" si="120"/>
        <v>-56.295836999999999</v>
      </c>
      <c r="BW104">
        <f t="shared" si="121"/>
        <v>311.00477873306886</v>
      </c>
      <c r="BX104">
        <f t="shared" si="122"/>
        <v>1578.4164750517375</v>
      </c>
      <c r="BY104">
        <f t="shared" si="123"/>
        <v>1774</v>
      </c>
      <c r="BZ104">
        <v>1889.42125123806</v>
      </c>
      <c r="CD104">
        <v>1797.7643790131599</v>
      </c>
      <c r="CG104">
        <f t="shared" si="124"/>
        <v>262.25678113613026</v>
      </c>
      <c r="CH104">
        <f t="shared" si="125"/>
        <v>121.12685455412009</v>
      </c>
      <c r="CI104">
        <f t="shared" si="126"/>
        <v>115.90242960659995</v>
      </c>
      <c r="CJ104">
        <f t="shared" si="127"/>
        <v>83.461400256923426</v>
      </c>
      <c r="CK104">
        <f t="shared" si="128"/>
        <v>41.003737090374969</v>
      </c>
      <c r="CL104">
        <f t="shared" si="129"/>
        <v>47.938993839516101</v>
      </c>
      <c r="CM104">
        <f t="shared" si="130"/>
        <v>121.85786324644484</v>
      </c>
      <c r="CN104">
        <f t="shared" si="131"/>
        <v>28.685670213218675</v>
      </c>
      <c r="CO104">
        <f t="shared" si="132"/>
        <v>581.02570850727716</v>
      </c>
      <c r="CP104">
        <f t="shared" si="133"/>
        <v>411.39652804314665</v>
      </c>
      <c r="CQ104">
        <f t="shared" si="134"/>
        <v>157.237885467653</v>
      </c>
      <c r="CR104">
        <f t="shared" si="135"/>
        <v>8.4000616305565874</v>
      </c>
      <c r="CS104">
        <f t="shared" si="136"/>
        <v>-21.701462354486779</v>
      </c>
      <c r="CT104">
        <f t="shared" si="137"/>
        <v>37.908799244763834</v>
      </c>
      <c r="CU104">
        <f t="shared" si="138"/>
        <v>0</v>
      </c>
      <c r="CV104">
        <f t="shared" si="139"/>
        <v>81.701737864077586</v>
      </c>
      <c r="CW104">
        <f t="shared" si="140"/>
        <v>-0.29465329669651519</v>
      </c>
      <c r="CX104">
        <f t="shared" si="141"/>
        <v>-495.93385523121799</v>
      </c>
      <c r="CY104">
        <f t="shared" si="142"/>
        <v>4.6723739999999996</v>
      </c>
      <c r="CZ104">
        <f t="shared" si="143"/>
        <v>5.3590679999999997</v>
      </c>
      <c r="DA104">
        <v>8854.0616600345202</v>
      </c>
      <c r="DB104">
        <f t="shared" si="145"/>
        <v>2322037.7109414754</v>
      </c>
      <c r="DC104">
        <f t="shared" si="146"/>
        <v>1072464.6389082123</v>
      </c>
      <c r="DD104">
        <f t="shared" si="147"/>
        <v>1026207.2582846464</v>
      </c>
      <c r="DE104">
        <f t="shared" si="148"/>
        <v>738972.38410762092</v>
      </c>
      <c r="DF104">
        <f t="shared" si="149"/>
        <v>363049.61649002443</v>
      </c>
      <c r="DG104">
        <f t="shared" si="150"/>
        <v>424454.80737509055</v>
      </c>
      <c r="DH104">
        <f t="shared" si="151"/>
        <v>1078937.034944077</v>
      </c>
      <c r="DI104">
        <f t="shared" si="152"/>
        <v>253984.69282725372</v>
      </c>
    </row>
    <row r="105" spans="1:113" x14ac:dyDescent="0.3">
      <c r="A105" s="1">
        <v>46000</v>
      </c>
      <c r="B105">
        <v>50</v>
      </c>
      <c r="C105">
        <v>0</v>
      </c>
      <c r="D105">
        <v>0.980582524271844</v>
      </c>
      <c r="E105">
        <v>-0.23931566428755699</v>
      </c>
      <c r="F105">
        <v>0.97094181742605201</v>
      </c>
      <c r="G105">
        <v>0.98768231378608196</v>
      </c>
      <c r="H105">
        <v>0.99404556545224998</v>
      </c>
      <c r="I105">
        <v>0.94441049469487603</v>
      </c>
      <c r="J105">
        <v>4.8839345124341599E-2</v>
      </c>
      <c r="K105">
        <v>6.9221588723045198</v>
      </c>
      <c r="L105">
        <v>0.98944773079626303</v>
      </c>
      <c r="M105">
        <v>3.01677487182954</v>
      </c>
      <c r="N105">
        <v>4.5110609120224296</v>
      </c>
      <c r="O105">
        <v>2.2113332668719798</v>
      </c>
      <c r="P105">
        <v>3.2763848686027002</v>
      </c>
      <c r="Q105">
        <v>0.96680317564234697</v>
      </c>
      <c r="R105">
        <v>0.968670350601608</v>
      </c>
      <c r="S105">
        <v>0.35997033165821701</v>
      </c>
      <c r="T105">
        <v>0.456191725199388</v>
      </c>
      <c r="U105">
        <v>17</v>
      </c>
      <c r="V105">
        <v>114</v>
      </c>
      <c r="W105">
        <v>1872</v>
      </c>
      <c r="X105">
        <v>8889.1408240747405</v>
      </c>
      <c r="Y105">
        <f t="shared" si="92"/>
        <v>16640471.622667914</v>
      </c>
      <c r="Z105">
        <f t="shared" si="144"/>
        <v>12.170142598170198</v>
      </c>
      <c r="AA105">
        <f t="shared" si="154"/>
        <v>6.6296784633467869</v>
      </c>
      <c r="AB105">
        <f t="shared" si="155"/>
        <v>3.9124808790902481</v>
      </c>
      <c r="AC105">
        <f t="shared" si="156"/>
        <v>3.7980021065415008</v>
      </c>
      <c r="AD105">
        <f t="shared" si="157"/>
        <v>1.3866438786700845</v>
      </c>
      <c r="AE105">
        <f t="shared" si="158"/>
        <v>1.5772847829792314</v>
      </c>
      <c r="AF105">
        <f t="shared" si="159"/>
        <v>5.4397963284310018</v>
      </c>
      <c r="AG105">
        <f t="shared" si="160"/>
        <v>1.1733998102967678</v>
      </c>
      <c r="AH105">
        <f t="shared" si="161"/>
        <v>14.752361412031716</v>
      </c>
      <c r="AI105">
        <f t="shared" si="162"/>
        <v>6.9687240579263854</v>
      </c>
      <c r="AJ105">
        <f t="shared" si="162"/>
        <v>4.6296050148216619</v>
      </c>
      <c r="AK105">
        <f t="shared" si="162"/>
        <v>3.6948385064954095</v>
      </c>
      <c r="AL105">
        <f t="shared" si="162"/>
        <v>2.5944664113759068</v>
      </c>
      <c r="AM105">
        <f t="shared" si="162"/>
        <v>2.3895751703221002</v>
      </c>
      <c r="AN105">
        <f t="shared" si="162"/>
        <v>6.5870344778956778</v>
      </c>
      <c r="AO105">
        <f t="shared" si="162"/>
        <v>3.6424813908642166</v>
      </c>
      <c r="AP105">
        <f t="shared" si="93"/>
        <v>0.42363520475795796</v>
      </c>
      <c r="AQ105">
        <f t="shared" si="94"/>
        <v>0.48255054519313967</v>
      </c>
      <c r="AR105">
        <f t="shared" si="95"/>
        <v>0.44344188327032796</v>
      </c>
      <c r="AS105">
        <f t="shared" si="96"/>
        <v>0.5086048751890837</v>
      </c>
      <c r="AT105">
        <f t="shared" si="97"/>
        <v>0.31364824226302745</v>
      </c>
      <c r="AU105">
        <f t="shared" si="98"/>
        <v>0.34907307977254143</v>
      </c>
      <c r="AV105">
        <f t="shared" si="99"/>
        <v>0.42872808162816434</v>
      </c>
      <c r="AW105">
        <f t="shared" si="100"/>
        <v>0.17810700009054159</v>
      </c>
      <c r="BC105">
        <f t="shared" si="101"/>
        <v>77.136803726030053</v>
      </c>
      <c r="BD105">
        <f t="shared" si="102"/>
        <v>60.044288870825</v>
      </c>
      <c r="BE105">
        <f t="shared" si="103"/>
        <v>48.38873349940669</v>
      </c>
      <c r="BF105">
        <f t="shared" si="104"/>
        <v>36.757899168738582</v>
      </c>
      <c r="BG105">
        <f t="shared" si="105"/>
        <v>7.3347008421652422</v>
      </c>
      <c r="BH105">
        <f t="shared" si="106"/>
        <v>42.766285188925778</v>
      </c>
      <c r="BI105">
        <f t="shared" si="107"/>
        <v>39.597600433877581</v>
      </c>
      <c r="BJ105">
        <f t="shared" si="108"/>
        <v>17.885308675178088</v>
      </c>
      <c r="BK105">
        <f t="shared" si="109"/>
        <v>3.5557659623667255</v>
      </c>
      <c r="BL105">
        <f t="shared" si="110"/>
        <v>-1.7542389294951619</v>
      </c>
      <c r="BM105">
        <f t="shared" si="111"/>
        <v>18.384295119780209</v>
      </c>
      <c r="BN105">
        <f t="shared" si="112"/>
        <v>0.14752060944973727</v>
      </c>
      <c r="BO105">
        <f t="shared" si="113"/>
        <v>-1.1680243729533151</v>
      </c>
      <c r="BP105">
        <f t="shared" si="114"/>
        <v>-24.458699185525361</v>
      </c>
      <c r="BQ105">
        <f t="shared" si="115"/>
        <v>0</v>
      </c>
      <c r="BR105">
        <f t="shared" si="116"/>
        <v>123.60965113592225</v>
      </c>
      <c r="BS105">
        <f t="shared" si="117"/>
        <v>0.67620493375881163</v>
      </c>
      <c r="BT105">
        <f t="shared" si="118"/>
        <v>-1.0163438884624978</v>
      </c>
      <c r="BU105">
        <f t="shared" si="119"/>
        <v>126.56964000000001</v>
      </c>
      <c r="BV105">
        <f t="shared" si="120"/>
        <v>-73.617632999999998</v>
      </c>
      <c r="BW105">
        <f t="shared" si="121"/>
        <v>329.911620405147</v>
      </c>
      <c r="BX105">
        <f t="shared" si="122"/>
        <v>1571.1773844610716</v>
      </c>
      <c r="BY105">
        <f t="shared" si="123"/>
        <v>1872</v>
      </c>
      <c r="BZ105">
        <v>1901.08900178923</v>
      </c>
      <c r="CD105">
        <v>1898.3497858675</v>
      </c>
      <c r="CG105">
        <f t="shared" si="124"/>
        <v>216.396698607144</v>
      </c>
      <c r="CH105">
        <f t="shared" si="125"/>
        <v>175.74556965358838</v>
      </c>
      <c r="CI105">
        <f t="shared" si="126"/>
        <v>118.96518938462187</v>
      </c>
      <c r="CJ105">
        <f t="shared" si="127"/>
        <v>151.35997928730038</v>
      </c>
      <c r="CK105">
        <f t="shared" si="128"/>
        <v>46.593810444378327</v>
      </c>
      <c r="CL105">
        <f t="shared" si="129"/>
        <v>62.762832190844954</v>
      </c>
      <c r="CM105">
        <f t="shared" si="130"/>
        <v>97.423677089346356</v>
      </c>
      <c r="CN105">
        <f t="shared" si="131"/>
        <v>25.554774384183897</v>
      </c>
      <c r="CO105">
        <f t="shared" si="132"/>
        <v>583.32769113659549</v>
      </c>
      <c r="CP105">
        <f t="shared" si="133"/>
        <v>411.33604901986769</v>
      </c>
      <c r="CQ105">
        <f t="shared" si="134"/>
        <v>159.42443966321841</v>
      </c>
      <c r="CR105">
        <f t="shared" si="135"/>
        <v>21.430018447762098</v>
      </c>
      <c r="CS105">
        <f t="shared" si="136"/>
        <v>-14.645877902840214</v>
      </c>
      <c r="CT105">
        <f t="shared" si="137"/>
        <v>39.365346562791352</v>
      </c>
      <c r="CU105">
        <f t="shared" si="138"/>
        <v>0</v>
      </c>
      <c r="CV105">
        <f t="shared" si="139"/>
        <v>82.518755242718385</v>
      </c>
      <c r="CW105">
        <f t="shared" si="140"/>
        <v>-0.27997363774922862</v>
      </c>
      <c r="CX105">
        <f t="shared" si="141"/>
        <v>-496.72067283199465</v>
      </c>
      <c r="CY105">
        <f t="shared" si="142"/>
        <v>5.0250060000000003</v>
      </c>
      <c r="CZ105">
        <f t="shared" si="143"/>
        <v>7.0080119999999999</v>
      </c>
      <c r="DA105">
        <v>8889.1408240747405</v>
      </c>
      <c r="DB105">
        <f t="shared" si="145"/>
        <v>1923580.7277837612</v>
      </c>
      <c r="DC105">
        <f t="shared" si="146"/>
        <v>1562227.1178579833</v>
      </c>
      <c r="DD105">
        <f t="shared" si="147"/>
        <v>1057498.3216026251</v>
      </c>
      <c r="DE105">
        <f t="shared" si="148"/>
        <v>1345460.1710138489</v>
      </c>
      <c r="DF105">
        <f t="shared" si="149"/>
        <v>414178.94257032342</v>
      </c>
      <c r="DG105">
        <f t="shared" si="150"/>
        <v>557907.65386219218</v>
      </c>
      <c r="DH105">
        <f t="shared" si="151"/>
        <v>866012.78524638363</v>
      </c>
      <c r="DI105">
        <f t="shared" si="152"/>
        <v>227159.98822846852</v>
      </c>
    </row>
    <row r="106" spans="1:113" x14ac:dyDescent="0.3">
      <c r="A106" s="1">
        <v>46007</v>
      </c>
      <c r="B106">
        <v>51</v>
      </c>
      <c r="C106">
        <v>0</v>
      </c>
      <c r="D106">
        <v>0.990291262135922</v>
      </c>
      <c r="E106">
        <v>-0.12053668025532301</v>
      </c>
      <c r="F106">
        <v>0.99270887409805397</v>
      </c>
      <c r="G106">
        <v>0.98661352187289797</v>
      </c>
      <c r="H106">
        <v>0.99151587464137103</v>
      </c>
      <c r="I106">
        <v>0.94031780821016497</v>
      </c>
      <c r="J106">
        <v>5.04429490063944E-2</v>
      </c>
      <c r="K106">
        <v>8.3722312038627091</v>
      </c>
      <c r="L106">
        <v>0.98954971073534004</v>
      </c>
      <c r="M106">
        <v>3.8088188949553499</v>
      </c>
      <c r="N106">
        <v>12.841927756324999</v>
      </c>
      <c r="O106">
        <v>2.1501503591087099</v>
      </c>
      <c r="P106">
        <v>1.7485495720573501</v>
      </c>
      <c r="Q106">
        <v>5.48683309315056</v>
      </c>
      <c r="R106">
        <v>0.948312508910929</v>
      </c>
      <c r="S106">
        <v>0.62929070830169398</v>
      </c>
      <c r="T106">
        <v>0.50873785393814197</v>
      </c>
      <c r="U106">
        <v>11</v>
      </c>
      <c r="V106">
        <v>128</v>
      </c>
      <c r="W106">
        <v>2020</v>
      </c>
      <c r="X106">
        <v>8879.5216968560799</v>
      </c>
      <c r="Y106">
        <f t="shared" si="92"/>
        <v>17936633.82764928</v>
      </c>
      <c r="Z106">
        <f t="shared" si="144"/>
        <v>11.110904453857469</v>
      </c>
      <c r="AA106">
        <f t="shared" si="154"/>
        <v>16.156766987998392</v>
      </c>
      <c r="AB106">
        <f t="shared" si="155"/>
        <v>3.9107667546993214</v>
      </c>
      <c r="AC106">
        <f t="shared" si="156"/>
        <v>2.8879502040198002</v>
      </c>
      <c r="AD106">
        <f t="shared" si="157"/>
        <v>5.9721584506850895</v>
      </c>
      <c r="AE106">
        <f t="shared" si="158"/>
        <v>1.7369549004005447</v>
      </c>
      <c r="AF106">
        <f t="shared" si="159"/>
        <v>4.437148138203395</v>
      </c>
      <c r="AG106">
        <f t="shared" si="160"/>
        <v>1.1541077496013643</v>
      </c>
      <c r="AH106">
        <f t="shared" si="161"/>
        <v>14.752361412031716</v>
      </c>
      <c r="AI106">
        <f t="shared" si="162"/>
        <v>6.9687240579263854</v>
      </c>
      <c r="AJ106">
        <f t="shared" si="162"/>
        <v>4.6296050148216619</v>
      </c>
      <c r="AK106">
        <f t="shared" si="162"/>
        <v>3.6948385064954095</v>
      </c>
      <c r="AL106">
        <f t="shared" si="162"/>
        <v>2.5944664113759068</v>
      </c>
      <c r="AM106">
        <f t="shared" si="162"/>
        <v>2.3895751703221002</v>
      </c>
      <c r="AN106">
        <f t="shared" si="162"/>
        <v>6.5870344778956778</v>
      </c>
      <c r="AO106">
        <f t="shared" si="162"/>
        <v>3.6424813908642166</v>
      </c>
      <c r="AP106">
        <f t="shared" si="93"/>
        <v>0.38851423874597207</v>
      </c>
      <c r="AQ106">
        <f t="shared" si="94"/>
        <v>0.76445650723149194</v>
      </c>
      <c r="AR106">
        <f t="shared" si="95"/>
        <v>0.44329588365361117</v>
      </c>
      <c r="AS106">
        <f t="shared" si="96"/>
        <v>0.42360608313082304</v>
      </c>
      <c r="AT106">
        <f t="shared" si="97"/>
        <v>0.73926645314069195</v>
      </c>
      <c r="AU106">
        <f t="shared" si="98"/>
        <v>0.38261274249395499</v>
      </c>
      <c r="AV106">
        <f t="shared" si="99"/>
        <v>0.3560300152865557</v>
      </c>
      <c r="AW106">
        <f t="shared" si="100"/>
        <v>0.17485446442168798</v>
      </c>
      <c r="BC106">
        <f t="shared" si="101"/>
        <v>70.741869991750406</v>
      </c>
      <c r="BD106">
        <f t="shared" si="102"/>
        <v>95.122154159037905</v>
      </c>
      <c r="BE106">
        <f t="shared" si="103"/>
        <v>48.372801904284856</v>
      </c>
      <c r="BF106">
        <f t="shared" si="104"/>
        <v>30.614865194122089</v>
      </c>
      <c r="BG106">
        <f t="shared" si="105"/>
        <v>17.287832500870099</v>
      </c>
      <c r="BH106">
        <f t="shared" si="106"/>
        <v>46.875358228929315</v>
      </c>
      <c r="BI106">
        <f t="shared" si="107"/>
        <v>32.883160427106084</v>
      </c>
      <c r="BJ106">
        <f t="shared" si="108"/>
        <v>17.558692627606113</v>
      </c>
      <c r="BK106">
        <f t="shared" si="109"/>
        <v>3.5519181928433605</v>
      </c>
      <c r="BL106">
        <f t="shared" si="110"/>
        <v>-1.7497746652257358</v>
      </c>
      <c r="BM106">
        <f t="shared" si="111"/>
        <v>18.304625149369752</v>
      </c>
      <c r="BN106">
        <f t="shared" si="112"/>
        <v>0.15236433987638648</v>
      </c>
      <c r="BO106">
        <f t="shared" si="113"/>
        <v>-0.58830156727195115</v>
      </c>
      <c r="BP106">
        <f t="shared" si="114"/>
        <v>-25.007026471197481</v>
      </c>
      <c r="BQ106">
        <f t="shared" si="115"/>
        <v>0</v>
      </c>
      <c r="BR106">
        <f t="shared" si="116"/>
        <v>124.83350906796112</v>
      </c>
      <c r="BS106">
        <f t="shared" si="117"/>
        <v>0.81785814961173642</v>
      </c>
      <c r="BT106">
        <f t="shared" si="118"/>
        <v>-1.0164486405222588</v>
      </c>
      <c r="BU106">
        <f t="shared" si="119"/>
        <v>142.11328</v>
      </c>
      <c r="BV106">
        <f t="shared" si="120"/>
        <v>-47.634938999999996</v>
      </c>
      <c r="BW106">
        <f t="shared" si="121"/>
        <v>359.45673503370682</v>
      </c>
      <c r="BX106">
        <f t="shared" si="122"/>
        <v>1614.026310631675</v>
      </c>
      <c r="BY106">
        <f t="shared" si="123"/>
        <v>2020</v>
      </c>
      <c r="BZ106">
        <v>1973.48304336673</v>
      </c>
      <c r="CD106">
        <v>2015.35413991419</v>
      </c>
      <c r="CG106">
        <f t="shared" si="124"/>
        <v>198.45659114787438</v>
      </c>
      <c r="CH106">
        <f t="shared" si="125"/>
        <v>278.41610723912424</v>
      </c>
      <c r="CI106">
        <f t="shared" si="126"/>
        <v>118.92602106807787</v>
      </c>
      <c r="CJ106">
        <f t="shared" si="127"/>
        <v>126.06447774378702</v>
      </c>
      <c r="CK106">
        <f t="shared" si="128"/>
        <v>109.8212466838545</v>
      </c>
      <c r="CL106">
        <f t="shared" si="129"/>
        <v>68.793214781485517</v>
      </c>
      <c r="CM106">
        <f t="shared" si="130"/>
        <v>80.903851951259369</v>
      </c>
      <c r="CN106">
        <f t="shared" si="131"/>
        <v>25.088100894922881</v>
      </c>
      <c r="CO106">
        <f t="shared" si="132"/>
        <v>582.69645990938727</v>
      </c>
      <c r="CP106">
        <f t="shared" si="133"/>
        <v>410.28926297750411</v>
      </c>
      <c r="CQ106">
        <f t="shared" si="134"/>
        <v>158.73355974054974</v>
      </c>
      <c r="CR106">
        <f t="shared" si="135"/>
        <v>22.133657300572324</v>
      </c>
      <c r="CS106">
        <f t="shared" si="136"/>
        <v>-7.3767235717254307</v>
      </c>
      <c r="CT106">
        <f t="shared" si="137"/>
        <v>40.247858484892731</v>
      </c>
      <c r="CU106">
        <f t="shared" si="138"/>
        <v>0</v>
      </c>
      <c r="CV106">
        <f t="shared" si="139"/>
        <v>83.335772621359197</v>
      </c>
      <c r="CW106">
        <f t="shared" si="140"/>
        <v>-0.33862326327143116</v>
      </c>
      <c r="CX106">
        <f t="shared" si="141"/>
        <v>-496.77186860755415</v>
      </c>
      <c r="CY106">
        <f t="shared" si="142"/>
        <v>5.642112</v>
      </c>
      <c r="CZ106">
        <f t="shared" si="143"/>
        <v>4.5345959999999996</v>
      </c>
      <c r="DA106">
        <v>8879.5216968560799</v>
      </c>
      <c r="DB106">
        <f t="shared" si="145"/>
        <v>1762199.6069816467</v>
      </c>
      <c r="DC106">
        <f t="shared" si="146"/>
        <v>2472201.8649840127</v>
      </c>
      <c r="DD106">
        <f t="shared" si="147"/>
        <v>1056006.1843947608</v>
      </c>
      <c r="DE106">
        <f t="shared" si="148"/>
        <v>1119392.2653287873</v>
      </c>
      <c r="DF106">
        <f t="shared" si="149"/>
        <v>975160.14270506985</v>
      </c>
      <c r="DG106">
        <f t="shared" si="150"/>
        <v>610850.84324868105</v>
      </c>
      <c r="DH106">
        <f t="shared" si="151"/>
        <v>718387.5087604397</v>
      </c>
      <c r="DI106">
        <f t="shared" si="152"/>
        <v>222770.33622938217</v>
      </c>
    </row>
    <row r="107" spans="1:113" x14ac:dyDescent="0.3">
      <c r="A107" s="1">
        <v>46014</v>
      </c>
      <c r="B107">
        <v>52</v>
      </c>
      <c r="C107">
        <v>0</v>
      </c>
      <c r="D107">
        <v>1</v>
      </c>
      <c r="E107" s="2">
        <v>6.4324905987065405E-16</v>
      </c>
      <c r="F107">
        <v>1</v>
      </c>
      <c r="G107">
        <v>0.98882606857829902</v>
      </c>
      <c r="H107">
        <v>0.98785943546010002</v>
      </c>
      <c r="I107">
        <v>0.93439086678929495</v>
      </c>
      <c r="J107">
        <v>2.94943440628266E-2</v>
      </c>
      <c r="K107">
        <v>18.3455855481231</v>
      </c>
      <c r="L107">
        <v>0.98893148666765496</v>
      </c>
      <c r="M107">
        <v>4.4664524660545801</v>
      </c>
      <c r="N107">
        <v>1.9448353243633201</v>
      </c>
      <c r="O107">
        <v>3.6751400983001701</v>
      </c>
      <c r="P107">
        <v>5.9640951929899497</v>
      </c>
      <c r="Q107">
        <v>1.8551792559870799</v>
      </c>
      <c r="R107">
        <v>0.83600394541480105</v>
      </c>
      <c r="S107">
        <v>0.83603272740051504</v>
      </c>
      <c r="T107">
        <v>0.83075738613266104</v>
      </c>
      <c r="U107">
        <v>12</v>
      </c>
      <c r="V107">
        <v>133</v>
      </c>
      <c r="W107">
        <v>2096</v>
      </c>
      <c r="X107">
        <v>8899.4346172046899</v>
      </c>
      <c r="Y107">
        <f t="shared" si="92"/>
        <v>18653214.957661029</v>
      </c>
      <c r="Z107">
        <f t="shared" si="144"/>
        <v>11.132995138369061</v>
      </c>
      <c r="AA107">
        <f t="shared" si="154"/>
        <v>10.023218818362515</v>
      </c>
      <c r="AB107">
        <f t="shared" si="155"/>
        <v>5.4349851379148646</v>
      </c>
      <c r="AC107">
        <f t="shared" si="156"/>
        <v>6.8304802541958898</v>
      </c>
      <c r="AD107">
        <f t="shared" si="157"/>
        <v>3.9454347137268613</v>
      </c>
      <c r="AE107">
        <f t="shared" si="158"/>
        <v>1.7044813956150735</v>
      </c>
      <c r="AF107">
        <f t="shared" si="159"/>
        <v>3.9420364241428913</v>
      </c>
      <c r="AG107">
        <f t="shared" si="160"/>
        <v>1.4655166484134114</v>
      </c>
      <c r="AH107">
        <f t="shared" si="161"/>
        <v>14.752361412031716</v>
      </c>
      <c r="AI107">
        <f t="shared" si="162"/>
        <v>6.9687240579263854</v>
      </c>
      <c r="AJ107">
        <f t="shared" si="162"/>
        <v>4.6296050148216619</v>
      </c>
      <c r="AK107">
        <f t="shared" si="162"/>
        <v>3.6948385064954095</v>
      </c>
      <c r="AL107">
        <f t="shared" si="162"/>
        <v>2.5944664113759068</v>
      </c>
      <c r="AM107">
        <f t="shared" si="162"/>
        <v>2.3895751703221002</v>
      </c>
      <c r="AN107">
        <f t="shared" si="162"/>
        <v>6.5870344778956778</v>
      </c>
      <c r="AO107">
        <f t="shared" si="162"/>
        <v>3.6424813908642166</v>
      </c>
      <c r="AP107">
        <f t="shared" si="93"/>
        <v>0.38926949649184833</v>
      </c>
      <c r="AQ107">
        <f t="shared" si="94"/>
        <v>0.62453942655650374</v>
      </c>
      <c r="AR107">
        <f t="shared" si="95"/>
        <v>0.55391953021842644</v>
      </c>
      <c r="AS107">
        <f t="shared" si="96"/>
        <v>0.6831038269815769</v>
      </c>
      <c r="AT107">
        <f t="shared" si="97"/>
        <v>0.62807627781145015</v>
      </c>
      <c r="AU107">
        <f t="shared" si="98"/>
        <v>0.37594819075667391</v>
      </c>
      <c r="AV107">
        <f t="shared" si="99"/>
        <v>0.31645559430562131</v>
      </c>
      <c r="AW107">
        <f t="shared" si="100"/>
        <v>0.22633594449205668</v>
      </c>
      <c r="BC107">
        <f t="shared" si="101"/>
        <v>70.879389649823935</v>
      </c>
      <c r="BD107">
        <f t="shared" si="102"/>
        <v>77.712119720782425</v>
      </c>
      <c r="BE107">
        <f t="shared" si="103"/>
        <v>60.4441428269784</v>
      </c>
      <c r="BF107">
        <f t="shared" si="104"/>
        <v>49.369290030169928</v>
      </c>
      <c r="BG107">
        <f t="shared" si="105"/>
        <v>14.687637241545266</v>
      </c>
      <c r="BH107">
        <f t="shared" si="106"/>
        <v>46.05885837039358</v>
      </c>
      <c r="BI107">
        <f t="shared" si="107"/>
        <v>29.228041538103135</v>
      </c>
      <c r="BJ107">
        <f t="shared" si="108"/>
        <v>22.728406123681502</v>
      </c>
      <c r="BK107">
        <f t="shared" si="109"/>
        <v>3.5598836065754886</v>
      </c>
      <c r="BL107">
        <f t="shared" si="110"/>
        <v>-1.7433219751499052</v>
      </c>
      <c r="BM107">
        <f t="shared" si="111"/>
        <v>18.189248794647934</v>
      </c>
      <c r="BN107">
        <f t="shared" si="112"/>
        <v>8.9088492083401513E-2</v>
      </c>
      <c r="BO107">
        <f t="shared" si="113"/>
        <v>3.139496037774803E-15</v>
      </c>
      <c r="BP107">
        <f t="shared" si="114"/>
        <v>-25.190695000000002</v>
      </c>
      <c r="BQ107">
        <f t="shared" si="115"/>
        <v>0</v>
      </c>
      <c r="BR107">
        <f t="shared" si="116"/>
        <v>126.057367</v>
      </c>
      <c r="BS107">
        <f t="shared" si="117"/>
        <v>1.7921252154395013</v>
      </c>
      <c r="BT107">
        <f t="shared" si="118"/>
        <v>-1.0158136112697418</v>
      </c>
      <c r="BU107">
        <f t="shared" si="119"/>
        <v>147.66458</v>
      </c>
      <c r="BV107">
        <f t="shared" si="120"/>
        <v>-51.965387999999997</v>
      </c>
      <c r="BW107">
        <f t="shared" si="121"/>
        <v>371.10788550147817</v>
      </c>
      <c r="BX107">
        <f t="shared" si="122"/>
        <v>1617.6863205985567</v>
      </c>
      <c r="BY107">
        <f t="shared" si="123"/>
        <v>2096</v>
      </c>
      <c r="BZ107">
        <v>1988.79420173482</v>
      </c>
      <c r="CD107">
        <v>2050.9936487118598</v>
      </c>
      <c r="CG107">
        <f t="shared" si="124"/>
        <v>198.84238364332685</v>
      </c>
      <c r="CH107">
        <f t="shared" si="125"/>
        <v>227.45811477089305</v>
      </c>
      <c r="CI107">
        <f t="shared" si="126"/>
        <v>148.60378395088159</v>
      </c>
      <c r="CJ107">
        <f t="shared" si="127"/>
        <v>203.29058203496018</v>
      </c>
      <c r="CK107">
        <f t="shared" si="128"/>
        <v>93.303462572623118</v>
      </c>
      <c r="CL107">
        <f t="shared" si="129"/>
        <v>67.594938069380603</v>
      </c>
      <c r="CM107">
        <f t="shared" si="130"/>
        <v>71.911005958987133</v>
      </c>
      <c r="CN107">
        <f t="shared" si="131"/>
        <v>32.4746584557899</v>
      </c>
      <c r="CO107">
        <f t="shared" si="132"/>
        <v>584.00319563116614</v>
      </c>
      <c r="CP107">
        <f t="shared" si="133"/>
        <v>408.77622846623279</v>
      </c>
      <c r="CQ107">
        <f t="shared" si="134"/>
        <v>157.73304214756789</v>
      </c>
      <c r="CR107">
        <f t="shared" si="135"/>
        <v>12.94170377923423</v>
      </c>
      <c r="CS107">
        <f t="shared" si="136"/>
        <v>3.93661953555298E-14</v>
      </c>
      <c r="CT107">
        <f t="shared" si="137"/>
        <v>40.543466000000002</v>
      </c>
      <c r="CU107">
        <f t="shared" si="138"/>
        <v>0</v>
      </c>
      <c r="CV107">
        <f t="shared" si="139"/>
        <v>84.152789999999996</v>
      </c>
      <c r="CW107">
        <f t="shared" si="140"/>
        <v>-0.74200555307938698</v>
      </c>
      <c r="CX107">
        <f t="shared" si="141"/>
        <v>-496.46150893386596</v>
      </c>
      <c r="CY107">
        <f t="shared" si="142"/>
        <v>5.8625069999999999</v>
      </c>
      <c r="CZ107">
        <f t="shared" si="143"/>
        <v>4.9468319999999997</v>
      </c>
      <c r="DA107">
        <v>8899.4346172046899</v>
      </c>
      <c r="DB107">
        <f t="shared" si="145"/>
        <v>1769584.7923629186</v>
      </c>
      <c r="DC107">
        <f t="shared" si="146"/>
        <v>2024248.6205562029</v>
      </c>
      <c r="DD107">
        <f t="shared" si="147"/>
        <v>1322489.6591400823</v>
      </c>
      <c r="DE107">
        <f t="shared" si="148"/>
        <v>1809171.2431136144</v>
      </c>
      <c r="DF107">
        <f t="shared" si="149"/>
        <v>830348.06472386431</v>
      </c>
      <c r="DG107">
        <f t="shared" si="150"/>
        <v>601556.73180245294</v>
      </c>
      <c r="DH107">
        <f t="shared" si="151"/>
        <v>639967.29578942282</v>
      </c>
      <c r="DI107">
        <f t="shared" si="152"/>
        <v>289006.09964335564</v>
      </c>
    </row>
  </sheetData>
  <mergeCells count="4">
    <mergeCell ref="BC2:BJ2"/>
    <mergeCell ref="BK2:BV2"/>
    <mergeCell ref="CG2:CN2"/>
    <mergeCell ref="CO2:C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1E29-D8E2-4148-8B27-37CA753319C8}">
  <dimension ref="A1:C105"/>
  <sheetViews>
    <sheetView workbookViewId="0">
      <selection activeCell="E1" sqref="E1"/>
    </sheetView>
  </sheetViews>
  <sheetFormatPr defaultRowHeight="14.4" x14ac:dyDescent="0.3"/>
  <cols>
    <col min="2" max="2" width="12.5546875" bestFit="1" customWidth="1"/>
    <col min="3" max="3" width="12" bestFit="1" customWidth="1"/>
  </cols>
  <sheetData>
    <row r="1" spans="1:3" x14ac:dyDescent="0.3">
      <c r="A1" t="s">
        <v>62</v>
      </c>
      <c r="B1" t="s">
        <v>74</v>
      </c>
      <c r="C1" t="s">
        <v>73</v>
      </c>
    </row>
    <row r="2" spans="1:3" x14ac:dyDescent="0.3">
      <c r="A2">
        <v>1220</v>
      </c>
      <c r="B2">
        <v>1574.2095725315901</v>
      </c>
      <c r="C2">
        <v>1202.9059259568101</v>
      </c>
    </row>
    <row r="3" spans="1:3" x14ac:dyDescent="0.3">
      <c r="A3">
        <v>1239</v>
      </c>
      <c r="B3">
        <v>1600.2050290699699</v>
      </c>
      <c r="C3">
        <v>1229.8315794386201</v>
      </c>
    </row>
    <row r="4" spans="1:3" x14ac:dyDescent="0.3">
      <c r="A4">
        <v>1723</v>
      </c>
      <c r="B4">
        <v>1770.78733157122</v>
      </c>
      <c r="C4">
        <v>1729.05320472126</v>
      </c>
    </row>
    <row r="5" spans="1:3" x14ac:dyDescent="0.3">
      <c r="A5">
        <v>1775</v>
      </c>
      <c r="B5">
        <v>1790.4561207325601</v>
      </c>
      <c r="C5">
        <v>1806.43596179267</v>
      </c>
    </row>
    <row r="6" spans="1:3" x14ac:dyDescent="0.3">
      <c r="A6">
        <v>1668</v>
      </c>
      <c r="B6">
        <v>1776.09723239606</v>
      </c>
      <c r="C6">
        <v>1699.0777493170399</v>
      </c>
    </row>
    <row r="7" spans="1:3" x14ac:dyDescent="0.3">
      <c r="A7">
        <v>1721</v>
      </c>
      <c r="B7">
        <v>1784.7634492756099</v>
      </c>
      <c r="C7">
        <v>1739.77121363011</v>
      </c>
    </row>
    <row r="8" spans="1:3" x14ac:dyDescent="0.3">
      <c r="A8">
        <v>1827</v>
      </c>
      <c r="B8">
        <v>1825.7472706501101</v>
      </c>
      <c r="C8">
        <v>1815.5952826092901</v>
      </c>
    </row>
    <row r="9" spans="1:3" x14ac:dyDescent="0.3">
      <c r="A9">
        <v>1754</v>
      </c>
      <c r="B9">
        <v>1840.6791214218899</v>
      </c>
      <c r="C9">
        <v>1743.4315515257099</v>
      </c>
    </row>
    <row r="10" spans="1:3" x14ac:dyDescent="0.3">
      <c r="A10">
        <v>1723</v>
      </c>
      <c r="B10">
        <v>1800.7516017483499</v>
      </c>
      <c r="C10">
        <v>1775.7106886695101</v>
      </c>
    </row>
    <row r="11" spans="1:3" x14ac:dyDescent="0.3">
      <c r="A11">
        <v>1732</v>
      </c>
      <c r="B11">
        <v>1815.45509930956</v>
      </c>
      <c r="C11">
        <v>1738.8524714283701</v>
      </c>
    </row>
    <row r="12" spans="1:3" x14ac:dyDescent="0.3">
      <c r="A12">
        <v>1939</v>
      </c>
      <c r="B12">
        <v>1862.0470335605</v>
      </c>
      <c r="C12">
        <v>1902.79500711623</v>
      </c>
    </row>
    <row r="13" spans="1:3" x14ac:dyDescent="0.3">
      <c r="A13">
        <v>1943</v>
      </c>
      <c r="B13">
        <v>1899.3573597632001</v>
      </c>
      <c r="C13">
        <v>1938.1507295758199</v>
      </c>
    </row>
    <row r="14" spans="1:3" x14ac:dyDescent="0.3">
      <c r="A14">
        <v>1854</v>
      </c>
      <c r="B14">
        <v>1887.2994342955701</v>
      </c>
      <c r="C14">
        <v>1882.21108892961</v>
      </c>
    </row>
    <row r="15" spans="1:3" x14ac:dyDescent="0.3">
      <c r="A15">
        <v>2001</v>
      </c>
      <c r="B15">
        <v>1908.6847431036999</v>
      </c>
      <c r="C15">
        <v>1940.60391687016</v>
      </c>
    </row>
    <row r="16" spans="1:3" x14ac:dyDescent="0.3">
      <c r="A16">
        <v>2005</v>
      </c>
      <c r="B16">
        <v>1979.06181350003</v>
      </c>
      <c r="C16">
        <v>2006.85556917453</v>
      </c>
    </row>
    <row r="17" spans="1:3" x14ac:dyDescent="0.3">
      <c r="A17">
        <v>2021</v>
      </c>
      <c r="B17">
        <v>1990.6304080478501</v>
      </c>
      <c r="C17">
        <v>2014.62064141726</v>
      </c>
    </row>
    <row r="18" spans="1:3" x14ac:dyDescent="0.3">
      <c r="A18">
        <v>1970</v>
      </c>
      <c r="B18">
        <v>1993.3210472343001</v>
      </c>
      <c r="C18">
        <v>1958.2833726988299</v>
      </c>
    </row>
    <row r="19" spans="1:3" x14ac:dyDescent="0.3">
      <c r="A19">
        <v>1850</v>
      </c>
      <c r="B19">
        <v>1900.0548018796001</v>
      </c>
      <c r="C19">
        <v>1858.0440481119499</v>
      </c>
    </row>
    <row r="20" spans="1:3" x14ac:dyDescent="0.3">
      <c r="A20">
        <v>1838</v>
      </c>
      <c r="B20">
        <v>1903.6734558262699</v>
      </c>
      <c r="C20">
        <v>1851.7719360142401</v>
      </c>
    </row>
    <row r="21" spans="1:3" x14ac:dyDescent="0.3">
      <c r="A21">
        <v>2194</v>
      </c>
      <c r="B21">
        <v>2069.3139573622502</v>
      </c>
      <c r="C21">
        <v>2150.5147080647498</v>
      </c>
    </row>
    <row r="22" spans="1:3" x14ac:dyDescent="0.3">
      <c r="A22">
        <v>2035</v>
      </c>
      <c r="B22">
        <v>1995.3513920571099</v>
      </c>
      <c r="C22">
        <v>2025.2970525964299</v>
      </c>
    </row>
    <row r="23" spans="1:3" x14ac:dyDescent="0.3">
      <c r="A23">
        <v>2044</v>
      </c>
      <c r="B23">
        <v>1968.36308462278</v>
      </c>
      <c r="C23">
        <v>2030.3668966917501</v>
      </c>
    </row>
    <row r="24" spans="1:3" x14ac:dyDescent="0.3">
      <c r="A24">
        <v>1944</v>
      </c>
      <c r="B24">
        <v>1972.6321175504399</v>
      </c>
      <c r="C24">
        <v>1942.0146324484101</v>
      </c>
    </row>
    <row r="25" spans="1:3" x14ac:dyDescent="0.3">
      <c r="A25">
        <v>1797</v>
      </c>
      <c r="B25">
        <v>1897.0081578591401</v>
      </c>
      <c r="C25">
        <v>1827.0231947616401</v>
      </c>
    </row>
    <row r="26" spans="1:3" x14ac:dyDescent="0.3">
      <c r="A26">
        <v>1989</v>
      </c>
      <c r="B26">
        <v>1988.0462325870701</v>
      </c>
      <c r="C26">
        <v>1953.32199321232</v>
      </c>
    </row>
    <row r="27" spans="1:3" x14ac:dyDescent="0.3">
      <c r="A27">
        <v>1779</v>
      </c>
      <c r="B27">
        <v>1844.5627041006001</v>
      </c>
      <c r="C27">
        <v>1790.82010171915</v>
      </c>
    </row>
    <row r="28" spans="1:3" x14ac:dyDescent="0.3">
      <c r="A28">
        <v>1789</v>
      </c>
      <c r="B28">
        <v>1839.7035365311499</v>
      </c>
      <c r="C28">
        <v>1778.9075987152401</v>
      </c>
    </row>
    <row r="29" spans="1:3" x14ac:dyDescent="0.3">
      <c r="A29">
        <v>1695</v>
      </c>
      <c r="B29">
        <v>1882.2269601539799</v>
      </c>
      <c r="C29">
        <v>1724.80297366121</v>
      </c>
    </row>
    <row r="30" spans="1:3" x14ac:dyDescent="0.3">
      <c r="A30">
        <v>1938</v>
      </c>
      <c r="B30">
        <v>1997.5903834026601</v>
      </c>
      <c r="C30">
        <v>1982.16295561071</v>
      </c>
    </row>
    <row r="31" spans="1:3" x14ac:dyDescent="0.3">
      <c r="A31">
        <v>1900</v>
      </c>
      <c r="B31">
        <v>1919.93062601978</v>
      </c>
      <c r="C31">
        <v>1882.8437614176901</v>
      </c>
    </row>
    <row r="32" spans="1:3" x14ac:dyDescent="0.3">
      <c r="A32">
        <v>1933</v>
      </c>
      <c r="B32">
        <v>1990.2709618415399</v>
      </c>
      <c r="C32">
        <v>1957.8315848242801</v>
      </c>
    </row>
    <row r="33" spans="1:3" x14ac:dyDescent="0.3">
      <c r="A33">
        <v>1900</v>
      </c>
      <c r="B33">
        <v>1959.5770771488101</v>
      </c>
      <c r="C33">
        <v>1952.58514336947</v>
      </c>
    </row>
    <row r="34" spans="1:3" x14ac:dyDescent="0.3">
      <c r="A34">
        <v>1849</v>
      </c>
      <c r="B34">
        <v>1891.39599478901</v>
      </c>
      <c r="C34">
        <v>1834.22434229129</v>
      </c>
    </row>
    <row r="35" spans="1:3" x14ac:dyDescent="0.3">
      <c r="A35">
        <v>2031</v>
      </c>
      <c r="B35">
        <v>1938.16249645157</v>
      </c>
      <c r="C35">
        <v>1973.15780476947</v>
      </c>
    </row>
    <row r="36" spans="1:3" x14ac:dyDescent="0.3">
      <c r="A36">
        <v>2231</v>
      </c>
      <c r="B36">
        <v>2089.7188363506302</v>
      </c>
      <c r="C36">
        <v>2207.0128997759698</v>
      </c>
    </row>
    <row r="37" spans="1:3" x14ac:dyDescent="0.3">
      <c r="A37">
        <v>2217</v>
      </c>
      <c r="B37">
        <v>2064.51842590365</v>
      </c>
      <c r="C37">
        <v>2233.2705884614902</v>
      </c>
    </row>
    <row r="38" spans="1:3" x14ac:dyDescent="0.3">
      <c r="A38">
        <v>2096</v>
      </c>
      <c r="B38">
        <v>2006.95606574467</v>
      </c>
      <c r="C38">
        <v>2091.7549178522299</v>
      </c>
    </row>
    <row r="39" spans="1:3" x14ac:dyDescent="0.3">
      <c r="A39">
        <v>2163</v>
      </c>
      <c r="B39">
        <v>2073.2194828746801</v>
      </c>
      <c r="C39">
        <v>2146.4562091438402</v>
      </c>
    </row>
    <row r="40" spans="1:3" x14ac:dyDescent="0.3">
      <c r="A40">
        <v>1939</v>
      </c>
      <c r="B40">
        <v>1910.50383332196</v>
      </c>
      <c r="C40">
        <v>1914.6845689525001</v>
      </c>
    </row>
    <row r="41" spans="1:3" x14ac:dyDescent="0.3">
      <c r="A41">
        <v>1911</v>
      </c>
      <c r="B41">
        <v>1913.87807674941</v>
      </c>
      <c r="C41">
        <v>1918.93206481315</v>
      </c>
    </row>
    <row r="42" spans="1:3" x14ac:dyDescent="0.3">
      <c r="A42">
        <v>1693</v>
      </c>
      <c r="B42">
        <v>1827.89217032529</v>
      </c>
      <c r="C42">
        <v>1691.7620645167799</v>
      </c>
    </row>
    <row r="43" spans="1:3" x14ac:dyDescent="0.3">
      <c r="A43">
        <v>1829</v>
      </c>
      <c r="B43">
        <v>1953.0742480782501</v>
      </c>
      <c r="C43">
        <v>1827.3938185657701</v>
      </c>
    </row>
    <row r="44" spans="1:3" x14ac:dyDescent="0.3">
      <c r="A44">
        <v>1804</v>
      </c>
      <c r="B44">
        <v>1944.3624519679499</v>
      </c>
      <c r="C44">
        <v>1800.8855362494501</v>
      </c>
    </row>
    <row r="45" spans="1:3" x14ac:dyDescent="0.3">
      <c r="A45">
        <v>1918</v>
      </c>
      <c r="B45">
        <v>1986.63409259744</v>
      </c>
      <c r="C45">
        <v>1928.93549429827</v>
      </c>
    </row>
    <row r="46" spans="1:3" x14ac:dyDescent="0.3">
      <c r="A46">
        <v>1994</v>
      </c>
      <c r="B46">
        <v>1973.9194078066801</v>
      </c>
      <c r="C46">
        <v>2003.7180156069201</v>
      </c>
    </row>
    <row r="47" spans="1:3" x14ac:dyDescent="0.3">
      <c r="A47">
        <v>2082</v>
      </c>
      <c r="B47">
        <v>2011.9738542632199</v>
      </c>
      <c r="C47">
        <v>2063.9099201951299</v>
      </c>
    </row>
    <row r="48" spans="1:3" x14ac:dyDescent="0.3">
      <c r="A48">
        <v>2054</v>
      </c>
      <c r="B48">
        <v>1981.9850161777999</v>
      </c>
      <c r="C48">
        <v>2048.25974247568</v>
      </c>
    </row>
    <row r="49" spans="1:3" x14ac:dyDescent="0.3">
      <c r="A49">
        <v>2103</v>
      </c>
      <c r="B49">
        <v>2018.12931579107</v>
      </c>
      <c r="C49">
        <v>2113.5277422271402</v>
      </c>
    </row>
    <row r="50" spans="1:3" x14ac:dyDescent="0.3">
      <c r="A50">
        <v>2039</v>
      </c>
      <c r="B50">
        <v>1961.8975342280701</v>
      </c>
      <c r="C50">
        <v>2020.5721756156299</v>
      </c>
    </row>
    <row r="51" spans="1:3" x14ac:dyDescent="0.3">
      <c r="A51">
        <v>2107</v>
      </c>
      <c r="B51">
        <v>1987.2252967653201</v>
      </c>
      <c r="C51">
        <v>2143.0429945327301</v>
      </c>
    </row>
    <row r="52" spans="1:3" x14ac:dyDescent="0.3">
      <c r="A52">
        <v>2166</v>
      </c>
      <c r="B52">
        <v>2027.6147949880101</v>
      </c>
      <c r="C52">
        <v>2145.0009787628701</v>
      </c>
    </row>
    <row r="53" spans="1:3" x14ac:dyDescent="0.3">
      <c r="A53">
        <v>2004</v>
      </c>
      <c r="B53">
        <v>1975.3584011806399</v>
      </c>
      <c r="C53">
        <v>2014.86603110022</v>
      </c>
    </row>
    <row r="54" spans="1:3" x14ac:dyDescent="0.3">
      <c r="A54">
        <v>2058</v>
      </c>
      <c r="B54">
        <v>1935.8702879402199</v>
      </c>
      <c r="C54">
        <v>1988.88439827619</v>
      </c>
    </row>
    <row r="55" spans="1:3" x14ac:dyDescent="0.3">
      <c r="A55">
        <v>1961</v>
      </c>
      <c r="B55">
        <v>1957.10470104362</v>
      </c>
      <c r="C55">
        <v>2003.36364613978</v>
      </c>
    </row>
    <row r="56" spans="1:3" x14ac:dyDescent="0.3">
      <c r="A56">
        <v>2071</v>
      </c>
      <c r="B56">
        <v>1990.4819160879199</v>
      </c>
      <c r="C56">
        <v>2101.8866789679901</v>
      </c>
    </row>
    <row r="57" spans="1:3" x14ac:dyDescent="0.3">
      <c r="A57">
        <v>1979</v>
      </c>
      <c r="B57">
        <v>1972.1157954549899</v>
      </c>
      <c r="C57">
        <v>1981.0388614296301</v>
      </c>
    </row>
    <row r="58" spans="1:3" x14ac:dyDescent="0.3">
      <c r="A58">
        <v>1867</v>
      </c>
      <c r="B58">
        <v>1896.75521199013</v>
      </c>
      <c r="C58">
        <v>1864.5251040405799</v>
      </c>
    </row>
    <row r="59" spans="1:3" x14ac:dyDescent="0.3">
      <c r="A59">
        <v>1969</v>
      </c>
      <c r="B59">
        <v>1920.8355965005101</v>
      </c>
      <c r="C59">
        <v>1930.49447594</v>
      </c>
    </row>
    <row r="60" spans="1:3" x14ac:dyDescent="0.3">
      <c r="A60">
        <v>2001</v>
      </c>
      <c r="B60">
        <v>1992.40052795458</v>
      </c>
      <c r="C60">
        <v>2036.80192726014</v>
      </c>
    </row>
    <row r="61" spans="1:3" x14ac:dyDescent="0.3">
      <c r="A61">
        <v>2053</v>
      </c>
      <c r="B61">
        <v>1967.8963738831701</v>
      </c>
      <c r="C61">
        <v>2052.0196068819</v>
      </c>
    </row>
    <row r="62" spans="1:3" x14ac:dyDescent="0.3">
      <c r="A62">
        <v>1990</v>
      </c>
      <c r="B62">
        <v>1957.55329349516</v>
      </c>
      <c r="C62">
        <v>1976.35277584295</v>
      </c>
    </row>
    <row r="63" spans="1:3" x14ac:dyDescent="0.3">
      <c r="A63">
        <v>1983</v>
      </c>
      <c r="B63">
        <v>1950.04610288863</v>
      </c>
      <c r="C63">
        <v>1976.8278638815</v>
      </c>
    </row>
    <row r="64" spans="1:3" x14ac:dyDescent="0.3">
      <c r="A64">
        <v>1969</v>
      </c>
      <c r="B64">
        <v>1983.00488824577</v>
      </c>
      <c r="C64">
        <v>2004.7309517736401</v>
      </c>
    </row>
    <row r="65" spans="1:3" x14ac:dyDescent="0.3">
      <c r="A65">
        <v>1916</v>
      </c>
      <c r="B65">
        <v>1930.5432723556501</v>
      </c>
      <c r="C65">
        <v>1889.62610240308</v>
      </c>
    </row>
    <row r="66" spans="1:3" x14ac:dyDescent="0.3">
      <c r="A66">
        <v>2000</v>
      </c>
      <c r="B66">
        <v>1976.8431118842</v>
      </c>
      <c r="C66">
        <v>1988.2853024234901</v>
      </c>
    </row>
    <row r="67" spans="1:3" x14ac:dyDescent="0.3">
      <c r="A67">
        <v>2087</v>
      </c>
      <c r="B67">
        <v>2039.1626302739701</v>
      </c>
      <c r="C67">
        <v>2079.8823991827599</v>
      </c>
    </row>
    <row r="68" spans="1:3" x14ac:dyDescent="0.3">
      <c r="A68">
        <v>2251</v>
      </c>
      <c r="B68">
        <v>2129.91328732896</v>
      </c>
      <c r="C68">
        <v>2257.1822237114702</v>
      </c>
    </row>
    <row r="69" spans="1:3" x14ac:dyDescent="0.3">
      <c r="A69">
        <v>2165</v>
      </c>
      <c r="B69">
        <v>2081.9743133584898</v>
      </c>
      <c r="C69">
        <v>2168.6438527957298</v>
      </c>
    </row>
    <row r="70" spans="1:3" x14ac:dyDescent="0.3">
      <c r="A70">
        <v>2119</v>
      </c>
      <c r="B70">
        <v>2061.33348368524</v>
      </c>
      <c r="C70">
        <v>2124.9804783704699</v>
      </c>
    </row>
    <row r="71" spans="1:3" x14ac:dyDescent="0.3">
      <c r="A71">
        <v>2138</v>
      </c>
      <c r="B71">
        <v>2055.9590482664198</v>
      </c>
      <c r="C71">
        <v>2122.7923158938802</v>
      </c>
    </row>
    <row r="72" spans="1:3" x14ac:dyDescent="0.3">
      <c r="A72">
        <v>2169</v>
      </c>
      <c r="B72">
        <v>2103.17129579931</v>
      </c>
      <c r="C72">
        <v>2177.6557064820799</v>
      </c>
    </row>
    <row r="73" spans="1:3" x14ac:dyDescent="0.3">
      <c r="A73">
        <v>2155</v>
      </c>
      <c r="B73">
        <v>2096.2238537082499</v>
      </c>
      <c r="C73">
        <v>2174.6452157446402</v>
      </c>
    </row>
    <row r="74" spans="1:3" x14ac:dyDescent="0.3">
      <c r="A74">
        <v>2107</v>
      </c>
      <c r="B74">
        <v>2053.0851800669502</v>
      </c>
      <c r="C74">
        <v>2128.4601330390301</v>
      </c>
    </row>
    <row r="75" spans="1:3" x14ac:dyDescent="0.3">
      <c r="A75">
        <v>1964</v>
      </c>
      <c r="B75">
        <v>2042.9431172694301</v>
      </c>
      <c r="C75">
        <v>1976.44172519676</v>
      </c>
    </row>
    <row r="76" spans="1:3" x14ac:dyDescent="0.3">
      <c r="A76">
        <v>1934</v>
      </c>
      <c r="B76">
        <v>2002.53968295048</v>
      </c>
      <c r="C76">
        <v>1918.77725039955</v>
      </c>
    </row>
    <row r="77" spans="1:3" x14ac:dyDescent="0.3">
      <c r="A77">
        <v>1923</v>
      </c>
      <c r="B77">
        <v>1998.45909756728</v>
      </c>
      <c r="C77">
        <v>1929.0021207966099</v>
      </c>
    </row>
    <row r="78" spans="1:3" x14ac:dyDescent="0.3">
      <c r="A78">
        <v>1950</v>
      </c>
      <c r="B78">
        <v>1994.9907847817899</v>
      </c>
      <c r="C78">
        <v>1936.3455720428201</v>
      </c>
    </row>
    <row r="79" spans="1:3" x14ac:dyDescent="0.3">
      <c r="A79">
        <v>1809</v>
      </c>
      <c r="B79">
        <v>1935.1041357689201</v>
      </c>
      <c r="C79">
        <v>1795.0859894627799</v>
      </c>
    </row>
    <row r="80" spans="1:3" x14ac:dyDescent="0.3">
      <c r="A80">
        <v>1838</v>
      </c>
      <c r="B80">
        <v>2004.5843059137701</v>
      </c>
      <c r="C80">
        <v>1847.8823738692099</v>
      </c>
    </row>
    <row r="81" spans="1:3" x14ac:dyDescent="0.3">
      <c r="A81">
        <v>2036</v>
      </c>
      <c r="B81">
        <v>1984.2085297799899</v>
      </c>
      <c r="C81">
        <v>2002.2178392614801</v>
      </c>
    </row>
    <row r="82" spans="1:3" x14ac:dyDescent="0.3">
      <c r="A82">
        <v>2048</v>
      </c>
      <c r="B82">
        <v>2005.58541944026</v>
      </c>
      <c r="C82">
        <v>2059.2478953695099</v>
      </c>
    </row>
    <row r="83" spans="1:3" x14ac:dyDescent="0.3">
      <c r="A83">
        <v>2284</v>
      </c>
      <c r="B83">
        <v>2160.8297769033002</v>
      </c>
      <c r="C83">
        <v>2303.8281665231002</v>
      </c>
    </row>
    <row r="84" spans="1:3" x14ac:dyDescent="0.3">
      <c r="A84">
        <v>2296</v>
      </c>
      <c r="B84">
        <v>2112.20206390166</v>
      </c>
      <c r="C84">
        <v>2287.4069347056002</v>
      </c>
    </row>
    <row r="85" spans="1:3" x14ac:dyDescent="0.3">
      <c r="A85">
        <v>2157</v>
      </c>
      <c r="B85">
        <v>2072.6198605058698</v>
      </c>
      <c r="C85">
        <v>2205.27990620234</v>
      </c>
    </row>
    <row r="86" spans="1:3" x14ac:dyDescent="0.3">
      <c r="A86">
        <v>2038</v>
      </c>
      <c r="B86">
        <v>1991.80862721976</v>
      </c>
      <c r="C86">
        <v>2045.09832484148</v>
      </c>
    </row>
    <row r="87" spans="1:3" x14ac:dyDescent="0.3">
      <c r="A87">
        <v>2040</v>
      </c>
      <c r="B87">
        <v>2012.10835081353</v>
      </c>
      <c r="C87">
        <v>2018.7595229506201</v>
      </c>
    </row>
    <row r="88" spans="1:3" x14ac:dyDescent="0.3">
      <c r="A88">
        <v>1963</v>
      </c>
      <c r="B88">
        <v>2013.54140155492</v>
      </c>
      <c r="C88">
        <v>2009.5505102233601</v>
      </c>
    </row>
    <row r="89" spans="1:3" x14ac:dyDescent="0.3">
      <c r="A89">
        <v>2030</v>
      </c>
      <c r="B89">
        <v>1995.8884589408301</v>
      </c>
      <c r="C89">
        <v>1995.32121066743</v>
      </c>
    </row>
    <row r="90" spans="1:3" x14ac:dyDescent="0.3">
      <c r="A90">
        <v>2114</v>
      </c>
      <c r="B90">
        <v>2005.4943565590499</v>
      </c>
      <c r="C90">
        <v>2082.3210110830901</v>
      </c>
    </row>
    <row r="91" spans="1:3" x14ac:dyDescent="0.3">
      <c r="A91">
        <v>1994</v>
      </c>
      <c r="B91">
        <v>1991.54127612097</v>
      </c>
      <c r="C91">
        <v>2004.25433670543</v>
      </c>
    </row>
    <row r="92" spans="1:3" x14ac:dyDescent="0.3">
      <c r="A92">
        <v>2048</v>
      </c>
      <c r="B92">
        <v>1993.07975422715</v>
      </c>
      <c r="C92">
        <v>2050.1222567478599</v>
      </c>
    </row>
    <row r="93" spans="1:3" x14ac:dyDescent="0.3">
      <c r="A93">
        <v>2093</v>
      </c>
      <c r="B93">
        <v>2039.6850833625599</v>
      </c>
      <c r="C93">
        <v>2076.4833251953401</v>
      </c>
    </row>
    <row r="94" spans="1:3" x14ac:dyDescent="0.3">
      <c r="A94">
        <v>1907</v>
      </c>
      <c r="B94">
        <v>2009.2714640192601</v>
      </c>
      <c r="C94">
        <v>1923.0149844991799</v>
      </c>
    </row>
    <row r="95" spans="1:3" x14ac:dyDescent="0.3">
      <c r="A95">
        <v>1816</v>
      </c>
      <c r="B95">
        <v>1948.2431280109899</v>
      </c>
      <c r="C95">
        <v>1804.05284420667</v>
      </c>
    </row>
    <row r="96" spans="1:3" x14ac:dyDescent="0.3">
      <c r="A96">
        <v>1882</v>
      </c>
      <c r="B96">
        <v>1947.75137948629</v>
      </c>
      <c r="C96">
        <v>1898.6262507849999</v>
      </c>
    </row>
    <row r="97" spans="1:3" x14ac:dyDescent="0.3">
      <c r="A97">
        <v>2041</v>
      </c>
      <c r="B97">
        <v>2038.31641986105</v>
      </c>
      <c r="C97">
        <v>2054.6317538414601</v>
      </c>
    </row>
    <row r="98" spans="1:3" x14ac:dyDescent="0.3">
      <c r="A98">
        <v>2111</v>
      </c>
      <c r="B98">
        <v>2058.6155416036299</v>
      </c>
      <c r="C98">
        <v>2127.4662921211302</v>
      </c>
    </row>
    <row r="99" spans="1:3" x14ac:dyDescent="0.3">
      <c r="A99">
        <v>1995</v>
      </c>
      <c r="B99">
        <v>1983.36640879845</v>
      </c>
      <c r="C99">
        <v>1986.2417936306999</v>
      </c>
    </row>
    <row r="100" spans="1:3" x14ac:dyDescent="0.3">
      <c r="A100">
        <v>2040</v>
      </c>
      <c r="B100">
        <v>1999.47017686714</v>
      </c>
      <c r="C100">
        <v>2010.8691733421199</v>
      </c>
    </row>
    <row r="101" spans="1:3" x14ac:dyDescent="0.3">
      <c r="A101">
        <v>1835</v>
      </c>
      <c r="B101">
        <v>1933.3112903132201</v>
      </c>
      <c r="C101">
        <v>1832.2662150435999</v>
      </c>
    </row>
    <row r="102" spans="1:3" x14ac:dyDescent="0.3">
      <c r="A102">
        <v>1774</v>
      </c>
      <c r="B102">
        <v>1889.42125123806</v>
      </c>
      <c r="C102">
        <v>1797.7643790131599</v>
      </c>
    </row>
    <row r="103" spans="1:3" x14ac:dyDescent="0.3">
      <c r="A103">
        <v>1872</v>
      </c>
      <c r="B103">
        <v>1901.08900178923</v>
      </c>
      <c r="C103">
        <v>1898.3497858675</v>
      </c>
    </row>
    <row r="104" spans="1:3" x14ac:dyDescent="0.3">
      <c r="A104">
        <v>2020</v>
      </c>
      <c r="B104">
        <v>1973.48304336673</v>
      </c>
      <c r="C104">
        <v>2015.35413991419</v>
      </c>
    </row>
    <row r="105" spans="1:3" x14ac:dyDescent="0.3">
      <c r="A105">
        <v>2096</v>
      </c>
      <c r="B105">
        <v>1988.79420173482</v>
      </c>
      <c r="C105">
        <v>2050.9936487118598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FDB5-65BF-4D67-9435-C72934988DB8}">
  <dimension ref="A1:X202"/>
  <sheetViews>
    <sheetView topLeftCell="U1" zoomScale="180" workbookViewId="0">
      <selection activeCell="AG6" sqref="AG6"/>
    </sheetView>
  </sheetViews>
  <sheetFormatPr defaultRowHeight="14.4" x14ac:dyDescent="0.3"/>
  <sheetData>
    <row r="1" spans="1:24" x14ac:dyDescent="0.3">
      <c r="A1">
        <v>0.6</v>
      </c>
      <c r="B1">
        <v>0.5</v>
      </c>
      <c r="C1">
        <v>0.45</v>
      </c>
      <c r="D1" s="7" t="s">
        <v>80</v>
      </c>
      <c r="E1" s="7"/>
      <c r="F1" s="7"/>
      <c r="G1" s="5">
        <v>0.5</v>
      </c>
      <c r="H1" s="5">
        <v>0.6</v>
      </c>
      <c r="I1" s="5">
        <v>0.7</v>
      </c>
      <c r="J1" s="5">
        <v>0.5</v>
      </c>
      <c r="K1" s="5">
        <v>0.6</v>
      </c>
      <c r="L1" s="5">
        <v>0.7</v>
      </c>
      <c r="M1" s="5">
        <v>0.5</v>
      </c>
      <c r="N1" s="5">
        <v>0.6</v>
      </c>
      <c r="O1" s="5">
        <v>0.7</v>
      </c>
      <c r="P1" s="6">
        <v>1.3</v>
      </c>
      <c r="Q1" s="6">
        <v>1.3</v>
      </c>
      <c r="R1" s="6">
        <v>1.3</v>
      </c>
      <c r="S1" s="6">
        <v>1.3</v>
      </c>
      <c r="T1" s="6">
        <v>1.3</v>
      </c>
      <c r="U1" s="6">
        <v>1.3</v>
      </c>
      <c r="V1" s="6">
        <v>1.3</v>
      </c>
      <c r="W1" s="6">
        <v>1.3</v>
      </c>
      <c r="X1" s="6">
        <v>1.3</v>
      </c>
    </row>
    <row r="2" spans="1:24" x14ac:dyDescent="0.3">
      <c r="A2" t="s">
        <v>26</v>
      </c>
      <c r="B2" t="s">
        <v>27</v>
      </c>
      <c r="C2" t="s">
        <v>28</v>
      </c>
      <c r="D2" t="s">
        <v>77</v>
      </c>
      <c r="E2" t="s">
        <v>78</v>
      </c>
      <c r="F2" t="s">
        <v>79</v>
      </c>
      <c r="G2" t="s">
        <v>42</v>
      </c>
      <c r="H2" t="s">
        <v>42</v>
      </c>
      <c r="I2" t="s">
        <v>42</v>
      </c>
      <c r="J2" t="s">
        <v>43</v>
      </c>
      <c r="K2" t="s">
        <v>43</v>
      </c>
      <c r="L2" t="s">
        <v>43</v>
      </c>
      <c r="M2" t="s">
        <v>44</v>
      </c>
      <c r="N2" t="s">
        <v>44</v>
      </c>
      <c r="O2" t="s">
        <v>44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</row>
    <row r="3" spans="1:24" x14ac:dyDescent="0.3">
      <c r="A3">
        <v>0.631819142579926</v>
      </c>
      <c r="B3">
        <v>2.8271417955142399</v>
      </c>
      <c r="C3">
        <v>2.1381390955646999</v>
      </c>
      <c r="D3" cm="1">
        <f t="array" ref="D3:D202">_xlfn.SEQUENCE(200, 1, 0, (MAX(A$3:A$106)*1.1-0)/(200-1))</f>
        <v>0</v>
      </c>
      <c r="E3" cm="1">
        <f t="array" ref="E3:E202">_xlfn.SEQUENCE(200, 1, 0, (MAX(B$3:B$106)*1.1-0)/(200-1))</f>
        <v>0</v>
      </c>
      <c r="F3" cm="1">
        <f t="array" ref="F3:F202">_xlfn.SEQUENCE(200, 1, 0, (MAX(C$3:C$106)*1.1-0)/(200-1))</f>
        <v>0</v>
      </c>
      <c r="G3">
        <f>PERCENTILE($A$3:$A$106, G$1)</f>
        <v>14.010857297639983</v>
      </c>
      <c r="H3">
        <f t="shared" ref="H3:I18" si="0">PERCENTILE($A$3:$A$106, H$1)</f>
        <v>14.752361412031716</v>
      </c>
      <c r="I3">
        <f t="shared" si="0"/>
        <v>16.406029733645838</v>
      </c>
      <c r="J3">
        <f>PERCENTILE($B$3:$B$106, J$1)</f>
        <v>6.2208019042484786</v>
      </c>
      <c r="K3">
        <f t="shared" ref="K3:L18" si="1">PERCENTILE($B$3:$B$106, K$1)</f>
        <v>6.9687240579263854</v>
      </c>
      <c r="L3">
        <f t="shared" si="1"/>
        <v>8.1000329277288632</v>
      </c>
      <c r="M3">
        <f>PERCENTILE($C$3:$C$106, M$1)</f>
        <v>4.1921918920568473</v>
      </c>
      <c r="N3">
        <f t="shared" ref="N3:O18" si="2">PERCENTILE($C$3:$C$106, N$1)</f>
        <v>4.6296050148216619</v>
      </c>
      <c r="O3">
        <f t="shared" si="2"/>
        <v>5.11639993824872</v>
      </c>
      <c r="P3">
        <f>IFERROR((POWER($D3, P$1)/(POWER($D3, P$1)+POWER(G3, P$1))), 0)</f>
        <v>0</v>
      </c>
      <c r="Q3">
        <f t="shared" ref="Q3:R3" si="3">IFERROR((POWER($D3, Q$1)/(POWER($D3, Q$1)+POWER(H3, Q$1))), 0)</f>
        <v>0</v>
      </c>
      <c r="R3">
        <f t="shared" si="3"/>
        <v>0</v>
      </c>
      <c r="S3">
        <f>IFERROR((POWER($E3, S$1)/(POWER($E3, S$1)+POWER(J3, S$1))), 0)</f>
        <v>0</v>
      </c>
      <c r="T3">
        <f>IFERROR((POWER($E3, T$1)/(POWER($E3, T$1)+POWER(K3, T$1))), 0)</f>
        <v>0</v>
      </c>
      <c r="U3">
        <f>IFERROR((POWER($E3, U$1)/(POWER($E3, U$1)+POWER(L3, U$1))), 0)</f>
        <v>0</v>
      </c>
      <c r="V3">
        <f>IFERROR((POWER($F3, V$1)/(POWER($F3, V$1)+POWER(M3, V$1))), 0)</f>
        <v>0</v>
      </c>
      <c r="W3">
        <f>IFERROR((POWER($F3, W$1)/(POWER($F3, W$1)+POWER(N3, W$1))), 0)</f>
        <v>0</v>
      </c>
      <c r="X3">
        <f>IFERROR((POWER($F3, X$1)/(POWER($F3, X$1)+POWER(O3, X$1))), 0)</f>
        <v>0</v>
      </c>
    </row>
    <row r="4" spans="1:24" x14ac:dyDescent="0.3">
      <c r="A4">
        <v>1.2673037364525594</v>
      </c>
      <c r="B4">
        <v>1.927574638163835</v>
      </c>
      <c r="C4">
        <v>1.3874992884495789</v>
      </c>
      <c r="D4">
        <v>0.23770650707318502</v>
      </c>
      <c r="E4">
        <v>0.12151274368183942</v>
      </c>
      <c r="F4">
        <v>0.18582540986402851</v>
      </c>
      <c r="G4">
        <f t="shared" ref="G4:I35" si="4">PERCENTILE($A$3:$A$106, G$1)</f>
        <v>14.010857297639983</v>
      </c>
      <c r="H4">
        <f t="shared" si="0"/>
        <v>14.752361412031716</v>
      </c>
      <c r="I4">
        <f t="shared" si="0"/>
        <v>16.406029733645838</v>
      </c>
      <c r="J4">
        <f t="shared" ref="J4:L35" si="5">PERCENTILE($B$3:$B$106, J$1)</f>
        <v>6.2208019042484786</v>
      </c>
      <c r="K4">
        <f t="shared" si="1"/>
        <v>6.9687240579263854</v>
      </c>
      <c r="L4">
        <f t="shared" si="1"/>
        <v>8.1000329277288632</v>
      </c>
      <c r="M4">
        <f t="shared" ref="M4:O35" si="6">PERCENTILE($C$3:$C$106, M$1)</f>
        <v>4.1921918920568473</v>
      </c>
      <c r="N4">
        <f t="shared" si="2"/>
        <v>4.6296050148216619</v>
      </c>
      <c r="O4">
        <f t="shared" si="2"/>
        <v>5.11639993824872</v>
      </c>
      <c r="P4">
        <f t="shared" ref="P4:P67" si="7">IFERROR((POWER($D4, P$1)/(POWER($D4, P$1)+POWER(G4, P$1))), 0)</f>
        <v>4.9691922168329291E-3</v>
      </c>
      <c r="Q4">
        <f>IFERROR((POWER($D4, Q$1)/(POWER($D4, Q$1)+POWER(H4, Q$1))), 0)</f>
        <v>4.6484683058372949E-3</v>
      </c>
      <c r="R4">
        <f t="shared" ref="R4:R67" si="8">IFERROR((POWER($D4, R$1)/(POWER($D4, R$1)+POWER(I4, R$1))), 0)</f>
        <v>4.0512202312608121E-3</v>
      </c>
      <c r="S4">
        <f t="shared" ref="S4:S67" si="9">IFERROR((POWER($E4, S$1)/(POWER($E4, S$1)+POWER(J4, S$1))), 0)</f>
        <v>5.9622607426754338E-3</v>
      </c>
      <c r="T4">
        <f t="shared" ref="T4:T67" si="10">IFERROR((POWER($E4, T$1)/(POWER($E4, T$1)+POWER(K4, T$1))), 0)</f>
        <v>5.1483427765776427E-3</v>
      </c>
      <c r="U4">
        <f t="shared" ref="U4:U67" si="11">IFERROR((POWER($E4, U$1)/(POWER($E4, U$1)+POWER(L4, U$1))), 0)</f>
        <v>4.2377099768378147E-3</v>
      </c>
      <c r="V4">
        <f t="shared" ref="V4:V67" si="12">IFERROR((POWER($F4, V$1)/(POWER($F4, V$1)+POWER(M4, V$1))), 0)</f>
        <v>1.7106826400697356E-2</v>
      </c>
      <c r="W4">
        <f t="shared" ref="W4:W67" si="13">IFERROR((POWER($F4, W$1)/(POWER($F4, W$1)+POWER(N4, W$1))), 0)</f>
        <v>1.5067321472450204E-2</v>
      </c>
      <c r="X4">
        <f t="shared" ref="X4:X67" si="14">IFERROR((POWER($F4, X$1)/(POWER($F4, X$1)+POWER(O4, X$1))), 0)</f>
        <v>1.3255240962552289E-2</v>
      </c>
    </row>
    <row r="5" spans="1:24" x14ac:dyDescent="0.3">
      <c r="A5">
        <v>11.989975318364236</v>
      </c>
      <c r="B5">
        <v>3.0616115440485574</v>
      </c>
      <c r="C5">
        <v>4.668414122257011</v>
      </c>
      <c r="D5">
        <v>0.47541301414637005</v>
      </c>
      <c r="E5">
        <v>0.24302548736367885</v>
      </c>
      <c r="F5">
        <v>0.37165081972805702</v>
      </c>
      <c r="G5">
        <f t="shared" si="4"/>
        <v>14.010857297639983</v>
      </c>
      <c r="H5">
        <f t="shared" si="0"/>
        <v>14.752361412031716</v>
      </c>
      <c r="I5">
        <f t="shared" si="0"/>
        <v>16.406029733645838</v>
      </c>
      <c r="J5">
        <f t="shared" si="5"/>
        <v>6.2208019042484786</v>
      </c>
      <c r="K5">
        <f t="shared" si="1"/>
        <v>6.9687240579263854</v>
      </c>
      <c r="L5">
        <f t="shared" si="1"/>
        <v>8.1000329277288632</v>
      </c>
      <c r="M5">
        <f t="shared" si="6"/>
        <v>4.1921918920568473</v>
      </c>
      <c r="N5">
        <f t="shared" si="2"/>
        <v>4.6296050148216619</v>
      </c>
      <c r="O5">
        <f t="shared" si="2"/>
        <v>5.11639993824872</v>
      </c>
      <c r="P5">
        <f t="shared" si="7"/>
        <v>1.214731926226445E-2</v>
      </c>
      <c r="Q5">
        <f t="shared" ref="Q5:Q67" si="15">IFERROR((POWER($D5, Q$1)/(POWER($D5, Q$1)+POWER(H5, Q$1))), 0)</f>
        <v>1.1368594648305863E-2</v>
      </c>
      <c r="R5">
        <f t="shared" si="8"/>
        <v>9.9165282602075404E-3</v>
      </c>
      <c r="S5">
        <f t="shared" si="9"/>
        <v>1.4553918977988557E-2</v>
      </c>
      <c r="T5">
        <f t="shared" si="10"/>
        <v>1.2581985129353412E-2</v>
      </c>
      <c r="U5">
        <f t="shared" si="11"/>
        <v>1.0370204301512892E-2</v>
      </c>
      <c r="V5">
        <f t="shared" si="12"/>
        <v>4.1093976702622159E-2</v>
      </c>
      <c r="W5">
        <f t="shared" si="13"/>
        <v>3.6300300916830584E-2</v>
      </c>
      <c r="X5">
        <f t="shared" si="14"/>
        <v>3.2017634209309975E-2</v>
      </c>
    </row>
    <row r="6" spans="1:24" x14ac:dyDescent="0.3">
      <c r="A6">
        <v>12.413221752335831</v>
      </c>
      <c r="B6">
        <v>4.0058335679773087</v>
      </c>
      <c r="C6">
        <v>4.3274451824542854</v>
      </c>
      <c r="D6">
        <v>0.71311952121955513</v>
      </c>
      <c r="E6">
        <v>0.3645382310455183</v>
      </c>
      <c r="F6">
        <v>0.55747622959208554</v>
      </c>
      <c r="G6">
        <f t="shared" si="4"/>
        <v>14.010857297639983</v>
      </c>
      <c r="H6">
        <f t="shared" si="0"/>
        <v>14.752361412031716</v>
      </c>
      <c r="I6">
        <f t="shared" si="0"/>
        <v>16.406029733645838</v>
      </c>
      <c r="J6">
        <f t="shared" si="5"/>
        <v>6.2208019042484786</v>
      </c>
      <c r="K6">
        <f t="shared" si="1"/>
        <v>6.9687240579263854</v>
      </c>
      <c r="L6">
        <f t="shared" si="1"/>
        <v>8.1000329277288632</v>
      </c>
      <c r="M6">
        <f t="shared" si="6"/>
        <v>4.1921918920568473</v>
      </c>
      <c r="N6">
        <f t="shared" si="2"/>
        <v>4.6296050148216619</v>
      </c>
      <c r="O6">
        <f t="shared" si="2"/>
        <v>5.11639993824872</v>
      </c>
      <c r="P6">
        <f t="shared" si="7"/>
        <v>2.0405776036275323E-2</v>
      </c>
      <c r="Q6">
        <f t="shared" si="15"/>
        <v>1.9107869499283434E-2</v>
      </c>
      <c r="R6">
        <f t="shared" si="8"/>
        <v>1.668397751455258E-2</v>
      </c>
      <c r="S6">
        <f t="shared" si="9"/>
        <v>2.4408096427402985E-2</v>
      </c>
      <c r="T6">
        <f t="shared" si="10"/>
        <v>2.1129632310113118E-2</v>
      </c>
      <c r="U6">
        <f t="shared" si="11"/>
        <v>1.7441806663186083E-2</v>
      </c>
      <c r="V6">
        <f t="shared" si="12"/>
        <v>6.768369213790823E-2</v>
      </c>
      <c r="W6">
        <f t="shared" si="13"/>
        <v>5.998230716444454E-2</v>
      </c>
      <c r="X6">
        <f t="shared" si="14"/>
        <v>5.3059496306960184E-2</v>
      </c>
    </row>
    <row r="7" spans="1:24" x14ac:dyDescent="0.3">
      <c r="A7">
        <v>9.8975300963619386</v>
      </c>
      <c r="B7">
        <v>2.7685506766415582</v>
      </c>
      <c r="C7">
        <v>3.5623637568146282</v>
      </c>
      <c r="D7">
        <v>0.9508260282927401</v>
      </c>
      <c r="E7">
        <v>0.4860509747273577</v>
      </c>
      <c r="F7">
        <v>0.74330163945611405</v>
      </c>
      <c r="G7">
        <f t="shared" si="4"/>
        <v>14.010857297639983</v>
      </c>
      <c r="H7">
        <f t="shared" si="0"/>
        <v>14.752361412031716</v>
      </c>
      <c r="I7">
        <f t="shared" si="0"/>
        <v>16.406029733645838</v>
      </c>
      <c r="J7">
        <f t="shared" si="5"/>
        <v>6.2208019042484786</v>
      </c>
      <c r="K7">
        <f t="shared" si="1"/>
        <v>6.9687240579263854</v>
      </c>
      <c r="L7">
        <f t="shared" si="1"/>
        <v>8.1000329277288632</v>
      </c>
      <c r="M7">
        <f t="shared" si="6"/>
        <v>4.1921918920568473</v>
      </c>
      <c r="N7">
        <f t="shared" si="2"/>
        <v>4.6296050148216619</v>
      </c>
      <c r="O7">
        <f t="shared" si="2"/>
        <v>5.11639993824872</v>
      </c>
      <c r="P7">
        <f t="shared" si="7"/>
        <v>2.9388189341718305E-2</v>
      </c>
      <c r="Q7">
        <f t="shared" si="15"/>
        <v>2.7535016806819378E-2</v>
      </c>
      <c r="R7">
        <f t="shared" si="8"/>
        <v>2.4068345780831276E-2</v>
      </c>
      <c r="S7">
        <f t="shared" si="9"/>
        <v>3.5089182931242968E-2</v>
      </c>
      <c r="T7">
        <f t="shared" si="10"/>
        <v>3.0420784707544436E-2</v>
      </c>
      <c r="U7">
        <f t="shared" si="11"/>
        <v>2.5153012024958201E-2</v>
      </c>
      <c r="V7">
        <f t="shared" si="12"/>
        <v>9.5449555347728782E-2</v>
      </c>
      <c r="W7">
        <f t="shared" si="13"/>
        <v>8.4876453796725163E-2</v>
      </c>
      <c r="X7">
        <f t="shared" si="14"/>
        <v>7.5310689626947494E-2</v>
      </c>
    </row>
    <row r="8" spans="1:24" x14ac:dyDescent="0.3">
      <c r="A8">
        <v>9.9820365787701331</v>
      </c>
      <c r="B8">
        <v>6.4525528266613392</v>
      </c>
      <c r="C8">
        <v>2.7099565738269629</v>
      </c>
      <c r="D8">
        <v>1.1885325353659251</v>
      </c>
      <c r="E8">
        <v>0.6075637184091971</v>
      </c>
      <c r="F8">
        <v>0.92912704932014256</v>
      </c>
      <c r="G8">
        <f t="shared" si="4"/>
        <v>14.010857297639983</v>
      </c>
      <c r="H8">
        <f t="shared" si="0"/>
        <v>14.752361412031716</v>
      </c>
      <c r="I8">
        <f t="shared" si="0"/>
        <v>16.406029733645838</v>
      </c>
      <c r="J8">
        <f t="shared" si="5"/>
        <v>6.2208019042484786</v>
      </c>
      <c r="K8">
        <f t="shared" si="1"/>
        <v>6.9687240579263854</v>
      </c>
      <c r="L8">
        <f t="shared" si="1"/>
        <v>8.1000329277288632</v>
      </c>
      <c r="M8">
        <f t="shared" si="6"/>
        <v>4.1921918920568473</v>
      </c>
      <c r="N8">
        <f t="shared" si="2"/>
        <v>4.6296050148216619</v>
      </c>
      <c r="O8">
        <f t="shared" si="2"/>
        <v>5.11639993824872</v>
      </c>
      <c r="P8">
        <f t="shared" si="7"/>
        <v>3.889390989397018E-2</v>
      </c>
      <c r="Q8">
        <f t="shared" si="15"/>
        <v>3.6463840503928993E-2</v>
      </c>
      <c r="R8">
        <f t="shared" si="8"/>
        <v>3.1909913537706801E-2</v>
      </c>
      <c r="S8">
        <f t="shared" si="9"/>
        <v>4.6350852099725781E-2</v>
      </c>
      <c r="T8">
        <f t="shared" si="10"/>
        <v>4.0246652860403902E-2</v>
      </c>
      <c r="U8">
        <f t="shared" si="11"/>
        <v>3.3335897519025444E-2</v>
      </c>
      <c r="V8">
        <f t="shared" si="12"/>
        <v>0.12360200366991392</v>
      </c>
      <c r="W8">
        <f t="shared" si="13"/>
        <v>0.11029064355199297</v>
      </c>
      <c r="X8">
        <f t="shared" si="14"/>
        <v>9.8167898615319854E-2</v>
      </c>
    </row>
    <row r="9" spans="1:24" x14ac:dyDescent="0.3">
      <c r="A9">
        <v>8.7852370589294395</v>
      </c>
      <c r="B9">
        <v>6.4573147755411799</v>
      </c>
      <c r="C9">
        <v>2.6002421808306933</v>
      </c>
      <c r="D9">
        <v>1.42623904243911</v>
      </c>
      <c r="E9">
        <v>0.72907646209103649</v>
      </c>
      <c r="F9">
        <v>1.1149524591841711</v>
      </c>
      <c r="G9">
        <f t="shared" si="4"/>
        <v>14.010857297639983</v>
      </c>
      <c r="H9">
        <f t="shared" si="0"/>
        <v>14.752361412031716</v>
      </c>
      <c r="I9">
        <f t="shared" si="0"/>
        <v>16.406029733645838</v>
      </c>
      <c r="J9">
        <f t="shared" si="5"/>
        <v>6.2208019042484786</v>
      </c>
      <c r="K9">
        <f t="shared" si="1"/>
        <v>6.9687240579263854</v>
      </c>
      <c r="L9">
        <f t="shared" si="1"/>
        <v>8.1000329277288632</v>
      </c>
      <c r="M9">
        <f t="shared" si="6"/>
        <v>4.1921918920568473</v>
      </c>
      <c r="N9">
        <f t="shared" si="2"/>
        <v>4.6296050148216619</v>
      </c>
      <c r="O9">
        <f t="shared" si="2"/>
        <v>5.11639993824872</v>
      </c>
      <c r="P9">
        <f t="shared" si="7"/>
        <v>4.8789089932147651E-2</v>
      </c>
      <c r="Q9">
        <f t="shared" si="15"/>
        <v>4.5770217662463739E-2</v>
      </c>
      <c r="R9">
        <f t="shared" si="8"/>
        <v>4.0102401396881017E-2</v>
      </c>
      <c r="S9">
        <f t="shared" si="9"/>
        <v>5.8028642970222963E-2</v>
      </c>
      <c r="T9">
        <f t="shared" si="10"/>
        <v>5.0467918710344249E-2</v>
      </c>
      <c r="U9">
        <f t="shared" si="11"/>
        <v>4.1878652352778413E-2</v>
      </c>
      <c r="V9">
        <f t="shared" si="12"/>
        <v>0.15164774995383104</v>
      </c>
      <c r="W9">
        <f t="shared" si="13"/>
        <v>0.13578395603245338</v>
      </c>
      <c r="X9">
        <f t="shared" si="14"/>
        <v>0.12124092648724212</v>
      </c>
    </row>
    <row r="10" spans="1:24" x14ac:dyDescent="0.3">
      <c r="A10">
        <v>9.7601834504586336</v>
      </c>
      <c r="B10">
        <v>5.4438783073746198</v>
      </c>
      <c r="C10">
        <v>2.4281175717724319</v>
      </c>
      <c r="D10">
        <v>1.663945549512295</v>
      </c>
      <c r="E10">
        <v>0.85058920577287589</v>
      </c>
      <c r="F10">
        <v>1.3007778690481997</v>
      </c>
      <c r="G10">
        <f t="shared" si="4"/>
        <v>14.010857297639983</v>
      </c>
      <c r="H10">
        <f t="shared" si="0"/>
        <v>14.752361412031716</v>
      </c>
      <c r="I10">
        <f t="shared" si="0"/>
        <v>16.406029733645838</v>
      </c>
      <c r="J10">
        <f t="shared" si="5"/>
        <v>6.2208019042484786</v>
      </c>
      <c r="K10">
        <f t="shared" si="1"/>
        <v>6.9687240579263854</v>
      </c>
      <c r="L10">
        <f t="shared" si="1"/>
        <v>8.1000329277288632</v>
      </c>
      <c r="M10">
        <f t="shared" si="6"/>
        <v>4.1921918920568473</v>
      </c>
      <c r="N10">
        <f t="shared" si="2"/>
        <v>4.6296050148216619</v>
      </c>
      <c r="O10">
        <f t="shared" si="2"/>
        <v>5.11639993824872</v>
      </c>
      <c r="P10">
        <f t="shared" si="7"/>
        <v>5.8976269283036981E-2</v>
      </c>
      <c r="Q10">
        <f t="shared" si="15"/>
        <v>5.5363743455811971E-2</v>
      </c>
      <c r="R10">
        <f t="shared" si="8"/>
        <v>4.8568408079307457E-2</v>
      </c>
      <c r="S10">
        <f t="shared" si="9"/>
        <v>7.0003065833899425E-2</v>
      </c>
      <c r="T10">
        <f t="shared" si="10"/>
        <v>6.0983164604793048E-2</v>
      </c>
      <c r="U10">
        <f t="shared" si="11"/>
        <v>5.0699836992011804E-2</v>
      </c>
      <c r="V10">
        <f t="shared" si="12"/>
        <v>0.1792643326550144</v>
      </c>
      <c r="W10">
        <f t="shared" si="13"/>
        <v>0.16106005178197852</v>
      </c>
      <c r="X10">
        <f t="shared" si="14"/>
        <v>0.14426174974609127</v>
      </c>
    </row>
    <row r="11" spans="1:24" x14ac:dyDescent="0.3">
      <c r="A11">
        <v>8.7397939829626594</v>
      </c>
      <c r="B11">
        <v>4.0926494306930401</v>
      </c>
      <c r="C11">
        <v>4.1796778482033643</v>
      </c>
      <c r="D11">
        <v>1.90165205658548</v>
      </c>
      <c r="E11">
        <v>0.97210194945471529</v>
      </c>
      <c r="F11">
        <v>1.4866032789122281</v>
      </c>
      <c r="G11">
        <f t="shared" si="4"/>
        <v>14.010857297639983</v>
      </c>
      <c r="H11">
        <f t="shared" si="0"/>
        <v>14.752361412031716</v>
      </c>
      <c r="I11">
        <f t="shared" si="0"/>
        <v>16.406029733645838</v>
      </c>
      <c r="J11">
        <f t="shared" si="5"/>
        <v>6.2208019042484786</v>
      </c>
      <c r="K11">
        <f t="shared" si="1"/>
        <v>6.9687240579263854</v>
      </c>
      <c r="L11">
        <f t="shared" si="1"/>
        <v>8.1000329277288632</v>
      </c>
      <c r="M11">
        <f t="shared" si="6"/>
        <v>4.1921918920568473</v>
      </c>
      <c r="N11">
        <f t="shared" si="2"/>
        <v>4.6296050148216619</v>
      </c>
      <c r="O11">
        <f t="shared" si="2"/>
        <v>5.11639993824872</v>
      </c>
      <c r="P11">
        <f t="shared" si="7"/>
        <v>6.9380644965202173E-2</v>
      </c>
      <c r="Q11">
        <f t="shared" si="15"/>
        <v>6.5174950414606928E-2</v>
      </c>
      <c r="R11">
        <f t="shared" si="8"/>
        <v>5.7248369782666009E-2</v>
      </c>
      <c r="S11">
        <f t="shared" si="9"/>
        <v>8.2182857884777236E-2</v>
      </c>
      <c r="T11">
        <f t="shared" si="10"/>
        <v>7.1714607576028114E-2</v>
      </c>
      <c r="U11">
        <f t="shared" si="11"/>
        <v>5.973680300067423E-2</v>
      </c>
      <c r="V11">
        <f t="shared" si="12"/>
        <v>0.2062386513562553</v>
      </c>
      <c r="W11">
        <f t="shared" si="13"/>
        <v>0.18591563157896565</v>
      </c>
      <c r="X11">
        <f t="shared" si="14"/>
        <v>0.16704110429291161</v>
      </c>
    </row>
    <row r="12" spans="1:24" x14ac:dyDescent="0.3">
      <c r="A12">
        <v>9.0487781798576847</v>
      </c>
      <c r="B12">
        <v>3.5150743055321301</v>
      </c>
      <c r="C12">
        <v>5.0014541349134438</v>
      </c>
      <c r="D12">
        <v>2.1393585636586652</v>
      </c>
      <c r="E12">
        <v>1.0936146931365547</v>
      </c>
      <c r="F12">
        <v>1.6724286887762565</v>
      </c>
      <c r="G12">
        <f t="shared" si="4"/>
        <v>14.010857297639983</v>
      </c>
      <c r="H12">
        <f t="shared" si="0"/>
        <v>14.752361412031716</v>
      </c>
      <c r="I12">
        <f t="shared" si="0"/>
        <v>16.406029733645838</v>
      </c>
      <c r="J12">
        <f t="shared" si="5"/>
        <v>6.2208019042484786</v>
      </c>
      <c r="K12">
        <f t="shared" si="1"/>
        <v>6.9687240579263854</v>
      </c>
      <c r="L12">
        <f t="shared" si="1"/>
        <v>8.1000329277288632</v>
      </c>
      <c r="M12">
        <f t="shared" si="6"/>
        <v>4.1921918920568473</v>
      </c>
      <c r="N12">
        <f t="shared" si="2"/>
        <v>4.6296050148216619</v>
      </c>
      <c r="O12">
        <f t="shared" si="2"/>
        <v>5.11639993824872</v>
      </c>
      <c r="P12">
        <f t="shared" si="7"/>
        <v>7.9942800692863955E-2</v>
      </c>
      <c r="Q12">
        <f t="shared" si="15"/>
        <v>7.5148553828324624E-2</v>
      </c>
      <c r="R12">
        <f t="shared" si="8"/>
        <v>6.6094744859151802E-2</v>
      </c>
      <c r="S12">
        <f t="shared" si="9"/>
        <v>9.4496059480497718E-2</v>
      </c>
      <c r="T12">
        <f t="shared" si="10"/>
        <v>8.2600536980410297E-2</v>
      </c>
      <c r="U12">
        <f t="shared" si="11"/>
        <v>6.8939587312319486E-2</v>
      </c>
      <c r="V12">
        <f t="shared" si="12"/>
        <v>0.2324317260507906</v>
      </c>
      <c r="W12">
        <f t="shared" si="13"/>
        <v>0.21021115758046321</v>
      </c>
      <c r="X12">
        <f t="shared" si="14"/>
        <v>0.18944408161731574</v>
      </c>
    </row>
    <row r="13" spans="1:24" x14ac:dyDescent="0.3">
      <c r="A13">
        <v>12.118901311263802</v>
      </c>
      <c r="B13">
        <v>6.5636580293916245</v>
      </c>
      <c r="C13">
        <v>8.1589129101430995</v>
      </c>
      <c r="D13">
        <v>2.3770650707318501</v>
      </c>
      <c r="E13">
        <v>1.2151274368183942</v>
      </c>
      <c r="F13">
        <v>1.8582540986402849</v>
      </c>
      <c r="G13">
        <f t="shared" si="4"/>
        <v>14.010857297639983</v>
      </c>
      <c r="H13">
        <f t="shared" si="0"/>
        <v>14.752361412031716</v>
      </c>
      <c r="I13">
        <f t="shared" si="0"/>
        <v>16.406029733645838</v>
      </c>
      <c r="J13">
        <f t="shared" si="5"/>
        <v>6.2208019042484786</v>
      </c>
      <c r="K13">
        <f t="shared" si="1"/>
        <v>6.9687240579263854</v>
      </c>
      <c r="L13">
        <f t="shared" si="1"/>
        <v>8.1000329277288632</v>
      </c>
      <c r="M13">
        <f t="shared" si="6"/>
        <v>4.1921918920568473</v>
      </c>
      <c r="N13">
        <f t="shared" si="2"/>
        <v>4.6296050148216619</v>
      </c>
      <c r="O13">
        <f t="shared" si="2"/>
        <v>5.11639993824872</v>
      </c>
      <c r="P13">
        <f t="shared" si="7"/>
        <v>9.0614423280950485E-2</v>
      </c>
      <c r="Q13">
        <f t="shared" si="15"/>
        <v>8.5239481102510117E-2</v>
      </c>
      <c r="R13">
        <f t="shared" si="8"/>
        <v>7.5068608916860041E-2</v>
      </c>
      <c r="S13">
        <f t="shared" si="9"/>
        <v>0.10688471725947078</v>
      </c>
      <c r="T13">
        <f t="shared" si="10"/>
        <v>9.3590853159891088E-2</v>
      </c>
      <c r="U13">
        <f t="shared" si="11"/>
        <v>7.8267332969280762E-2</v>
      </c>
      <c r="V13">
        <f t="shared" si="12"/>
        <v>0.25775645881073828</v>
      </c>
      <c r="W13">
        <f t="shared" si="13"/>
        <v>0.23385245014484959</v>
      </c>
      <c r="X13">
        <f t="shared" si="14"/>
        <v>0.21137489193828682</v>
      </c>
    </row>
    <row r="14" spans="1:24" x14ac:dyDescent="0.3">
      <c r="A14">
        <v>13.66228433302814</v>
      </c>
      <c r="B14">
        <v>4.9993882542056225</v>
      </c>
      <c r="C14">
        <v>5.0283712225373343</v>
      </c>
      <c r="D14">
        <v>2.6147715778050351</v>
      </c>
      <c r="E14">
        <v>1.3366401805002337</v>
      </c>
      <c r="F14">
        <v>2.0440795085043133</v>
      </c>
      <c r="G14">
        <f t="shared" si="4"/>
        <v>14.010857297639983</v>
      </c>
      <c r="H14">
        <f t="shared" si="0"/>
        <v>14.752361412031716</v>
      </c>
      <c r="I14">
        <f t="shared" si="0"/>
        <v>16.406029733645838</v>
      </c>
      <c r="J14">
        <f t="shared" si="5"/>
        <v>6.2208019042484786</v>
      </c>
      <c r="K14">
        <f t="shared" si="1"/>
        <v>6.9687240579263854</v>
      </c>
      <c r="L14">
        <f t="shared" si="1"/>
        <v>8.1000329277288632</v>
      </c>
      <c r="M14">
        <f t="shared" si="6"/>
        <v>4.1921918920568473</v>
      </c>
      <c r="N14">
        <f t="shared" si="2"/>
        <v>4.6296050148216619</v>
      </c>
      <c r="O14">
        <f t="shared" si="2"/>
        <v>5.11639993824872</v>
      </c>
      <c r="P14">
        <f t="shared" si="7"/>
        <v>0.10135557546273578</v>
      </c>
      <c r="Q14">
        <f t="shared" si="15"/>
        <v>9.5410350237607258E-2</v>
      </c>
      <c r="R14">
        <f t="shared" si="8"/>
        <v>8.4137502359426783E-2</v>
      </c>
      <c r="S14">
        <f t="shared" si="9"/>
        <v>0.11930148426986686</v>
      </c>
      <c r="T14">
        <f t="shared" si="10"/>
        <v>0.10464422299275034</v>
      </c>
      <c r="U14">
        <f t="shared" si="11"/>
        <v>8.768602329967029E-2</v>
      </c>
      <c r="V14">
        <f t="shared" si="12"/>
        <v>0.28216271814763116</v>
      </c>
      <c r="W14">
        <f t="shared" si="13"/>
        <v>0.25677832647161536</v>
      </c>
      <c r="X14">
        <f t="shared" si="14"/>
        <v>0.23276665228925628</v>
      </c>
    </row>
    <row r="15" spans="1:24" x14ac:dyDescent="0.3">
      <c r="A15">
        <v>19.010634742991783</v>
      </c>
      <c r="B15">
        <v>3.1426831704919782</v>
      </c>
      <c r="C15">
        <v>3.2809908672753405</v>
      </c>
      <c r="D15">
        <v>2.8524780848782201</v>
      </c>
      <c r="E15">
        <v>1.4581529241820732</v>
      </c>
      <c r="F15">
        <v>2.2299049183683417</v>
      </c>
      <c r="G15">
        <f t="shared" si="4"/>
        <v>14.010857297639983</v>
      </c>
      <c r="H15">
        <f t="shared" si="0"/>
        <v>14.752361412031716</v>
      </c>
      <c r="I15">
        <f t="shared" si="0"/>
        <v>16.406029733645838</v>
      </c>
      <c r="J15">
        <f t="shared" si="5"/>
        <v>6.2208019042484786</v>
      </c>
      <c r="K15">
        <f t="shared" si="1"/>
        <v>6.9687240579263854</v>
      </c>
      <c r="L15">
        <f t="shared" si="1"/>
        <v>8.1000329277288632</v>
      </c>
      <c r="M15">
        <f t="shared" si="6"/>
        <v>4.1921918920568473</v>
      </c>
      <c r="N15">
        <f t="shared" si="2"/>
        <v>4.6296050148216619</v>
      </c>
      <c r="O15">
        <f t="shared" si="2"/>
        <v>5.11639993824872</v>
      </c>
      <c r="P15">
        <f t="shared" si="7"/>
        <v>0.11213285372262492</v>
      </c>
      <c r="Q15">
        <f t="shared" si="15"/>
        <v>0.10562977123382178</v>
      </c>
      <c r="R15">
        <f t="shared" si="8"/>
        <v>9.3273987601418196E-2</v>
      </c>
      <c r="S15">
        <f t="shared" si="9"/>
        <v>0.13170730385439872</v>
      </c>
      <c r="T15">
        <f t="shared" si="10"/>
        <v>0.11572615556130431</v>
      </c>
      <c r="U15">
        <f t="shared" si="11"/>
        <v>9.7166960819009954E-2</v>
      </c>
      <c r="V15">
        <f t="shared" si="12"/>
        <v>0.30562692971989908</v>
      </c>
      <c r="W15">
        <f t="shared" si="13"/>
        <v>0.2789519186617192</v>
      </c>
      <c r="X15">
        <f t="shared" si="14"/>
        <v>0.25357419859601799</v>
      </c>
    </row>
    <row r="16" spans="1:24" x14ac:dyDescent="0.3">
      <c r="A16">
        <v>16.89676563669169</v>
      </c>
      <c r="B16">
        <v>2.9079513097394294</v>
      </c>
      <c r="C16">
        <v>11.764136839913403</v>
      </c>
      <c r="D16">
        <v>3.090184591951405</v>
      </c>
      <c r="E16">
        <v>1.5796656678639127</v>
      </c>
      <c r="F16">
        <v>2.4157303282323701</v>
      </c>
      <c r="G16">
        <f t="shared" si="4"/>
        <v>14.010857297639983</v>
      </c>
      <c r="H16">
        <f t="shared" si="0"/>
        <v>14.752361412031716</v>
      </c>
      <c r="I16">
        <f t="shared" si="0"/>
        <v>16.406029733645838</v>
      </c>
      <c r="J16">
        <f t="shared" si="5"/>
        <v>6.2208019042484786</v>
      </c>
      <c r="K16">
        <f t="shared" si="1"/>
        <v>6.9687240579263854</v>
      </c>
      <c r="L16">
        <f t="shared" si="1"/>
        <v>8.1000329277288632</v>
      </c>
      <c r="M16">
        <f t="shared" si="6"/>
        <v>4.1921918920568473</v>
      </c>
      <c r="N16">
        <f t="shared" si="2"/>
        <v>4.6296050148216619</v>
      </c>
      <c r="O16">
        <f t="shared" si="2"/>
        <v>5.11639993824872</v>
      </c>
      <c r="P16">
        <f t="shared" si="7"/>
        <v>0.1229180843807197</v>
      </c>
      <c r="Q16">
        <f t="shared" si="15"/>
        <v>0.11587114718814574</v>
      </c>
      <c r="R16">
        <f t="shared" si="8"/>
        <v>0.10245463606528904</v>
      </c>
      <c r="S16">
        <f t="shared" si="9"/>
        <v>0.14406975640883671</v>
      </c>
      <c r="T16">
        <f t="shared" si="10"/>
        <v>0.12680763794755756</v>
      </c>
      <c r="U16">
        <f t="shared" si="11"/>
        <v>0.10668569749377781</v>
      </c>
      <c r="V16">
        <f t="shared" si="12"/>
        <v>0.32814461913278792</v>
      </c>
      <c r="W16">
        <f t="shared" si="13"/>
        <v>0.30035438753473565</v>
      </c>
      <c r="X16">
        <f t="shared" si="14"/>
        <v>0.27376884909533672</v>
      </c>
    </row>
    <row r="17" spans="1:24" x14ac:dyDescent="0.3">
      <c r="A17">
        <v>14.380560480016484</v>
      </c>
      <c r="B17">
        <v>4.9366961769564544</v>
      </c>
      <c r="C17">
        <v>9.7626651913363922</v>
      </c>
      <c r="D17">
        <v>3.32789109902459</v>
      </c>
      <c r="E17">
        <v>1.7011784115457522</v>
      </c>
      <c r="F17">
        <v>2.6015557380963985</v>
      </c>
      <c r="G17">
        <f t="shared" si="4"/>
        <v>14.010857297639983</v>
      </c>
      <c r="H17">
        <f t="shared" si="0"/>
        <v>14.752361412031716</v>
      </c>
      <c r="I17">
        <f t="shared" si="0"/>
        <v>16.406029733645838</v>
      </c>
      <c r="J17">
        <f t="shared" si="5"/>
        <v>6.2208019042484786</v>
      </c>
      <c r="K17">
        <f t="shared" si="1"/>
        <v>6.9687240579263854</v>
      </c>
      <c r="L17">
        <f t="shared" si="1"/>
        <v>8.1000329277288632</v>
      </c>
      <c r="M17">
        <f t="shared" si="6"/>
        <v>4.1921918920568473</v>
      </c>
      <c r="N17">
        <f t="shared" si="2"/>
        <v>4.6296050148216619</v>
      </c>
      <c r="O17">
        <f t="shared" si="2"/>
        <v>5.11639993824872</v>
      </c>
      <c r="P17">
        <f t="shared" si="7"/>
        <v>0.13368736512518509</v>
      </c>
      <c r="Q17">
        <f t="shared" si="15"/>
        <v>0.12611179548448948</v>
      </c>
      <c r="R17">
        <f t="shared" si="8"/>
        <v>0.1116592896176223</v>
      </c>
      <c r="S17">
        <f t="shared" si="9"/>
        <v>0.15636183440926693</v>
      </c>
      <c r="T17">
        <f t="shared" si="10"/>
        <v>0.13786413091793823</v>
      </c>
      <c r="U17">
        <f t="shared" si="11"/>
        <v>0.11622125349472978</v>
      </c>
      <c r="V17">
        <f t="shared" si="12"/>
        <v>0.34972497627116783</v>
      </c>
      <c r="W17">
        <f t="shared" si="13"/>
        <v>0.32098027471429091</v>
      </c>
      <c r="X17">
        <f t="shared" si="14"/>
        <v>0.29333449499639741</v>
      </c>
    </row>
    <row r="18" spans="1:24" x14ac:dyDescent="0.3">
      <c r="A18">
        <v>20.515914661372193</v>
      </c>
      <c r="B18">
        <v>5.4594462481090371</v>
      </c>
      <c r="C18">
        <v>5.5825779058020872</v>
      </c>
      <c r="D18">
        <v>3.565597606097775</v>
      </c>
      <c r="E18">
        <v>1.8226911552275917</v>
      </c>
      <c r="F18">
        <v>2.7873811479604269</v>
      </c>
      <c r="G18">
        <f t="shared" si="4"/>
        <v>14.010857297639983</v>
      </c>
      <c r="H18">
        <f t="shared" si="0"/>
        <v>14.752361412031716</v>
      </c>
      <c r="I18">
        <f t="shared" si="0"/>
        <v>16.406029733645838</v>
      </c>
      <c r="J18">
        <f t="shared" si="5"/>
        <v>6.2208019042484786</v>
      </c>
      <c r="K18">
        <f t="shared" si="1"/>
        <v>6.9687240579263854</v>
      </c>
      <c r="L18">
        <f t="shared" si="1"/>
        <v>8.1000329277288632</v>
      </c>
      <c r="M18">
        <f t="shared" si="6"/>
        <v>4.1921918920568473</v>
      </c>
      <c r="N18">
        <f t="shared" si="2"/>
        <v>4.6296050148216619</v>
      </c>
      <c r="O18">
        <f t="shared" si="2"/>
        <v>5.11639993824872</v>
      </c>
      <c r="P18">
        <f t="shared" si="7"/>
        <v>0.14442033828268702</v>
      </c>
      <c r="Q18">
        <f t="shared" si="15"/>
        <v>0.13633228324302182</v>
      </c>
      <c r="R18">
        <f t="shared" si="8"/>
        <v>0.12087050502791249</v>
      </c>
      <c r="S18">
        <f t="shared" si="9"/>
        <v>0.16856100690860412</v>
      </c>
      <c r="T18">
        <f t="shared" si="10"/>
        <v>0.14887480634331965</v>
      </c>
      <c r="U18">
        <f t="shared" si="11"/>
        <v>0.12575552855419139</v>
      </c>
      <c r="V18">
        <f t="shared" si="12"/>
        <v>0.3703868483196146</v>
      </c>
      <c r="W18">
        <f t="shared" si="13"/>
        <v>0.3408340160442303</v>
      </c>
      <c r="X18">
        <f t="shared" si="14"/>
        <v>0.31226463058702747</v>
      </c>
    </row>
    <row r="19" spans="1:24" x14ac:dyDescent="0.3">
      <c r="A19">
        <v>15.811400042070886</v>
      </c>
      <c r="B19">
        <v>3.6798523068712594</v>
      </c>
      <c r="C19">
        <v>4.0597902872120093</v>
      </c>
      <c r="D19">
        <v>3.80330411317096</v>
      </c>
      <c r="E19">
        <v>1.9442038989094312</v>
      </c>
      <c r="F19">
        <v>2.9732065578244553</v>
      </c>
      <c r="G19">
        <f t="shared" si="4"/>
        <v>14.010857297639983</v>
      </c>
      <c r="H19">
        <f t="shared" si="4"/>
        <v>14.752361412031716</v>
      </c>
      <c r="I19">
        <f t="shared" si="4"/>
        <v>16.406029733645838</v>
      </c>
      <c r="J19">
        <f t="shared" si="5"/>
        <v>6.2208019042484786</v>
      </c>
      <c r="K19">
        <f t="shared" si="5"/>
        <v>6.9687240579263854</v>
      </c>
      <c r="L19">
        <f t="shared" si="5"/>
        <v>8.1000329277288632</v>
      </c>
      <c r="M19">
        <f t="shared" si="6"/>
        <v>4.1921918920568473</v>
      </c>
      <c r="N19">
        <f t="shared" si="6"/>
        <v>4.6296050148216619</v>
      </c>
      <c r="O19">
        <f t="shared" si="6"/>
        <v>5.11639993824872</v>
      </c>
      <c r="P19">
        <f t="shared" si="7"/>
        <v>0.15509962543563705</v>
      </c>
      <c r="Q19">
        <f t="shared" si="15"/>
        <v>0.14651591157968338</v>
      </c>
      <c r="R19">
        <f t="shared" si="8"/>
        <v>0.13007312500828622</v>
      </c>
      <c r="S19">
        <f t="shared" si="9"/>
        <v>0.18064848724273999</v>
      </c>
      <c r="T19">
        <f t="shared" si="10"/>
        <v>0.15982195316671621</v>
      </c>
      <c r="U19">
        <f t="shared" si="11"/>
        <v>0.13527284669856857</v>
      </c>
      <c r="V19">
        <f t="shared" si="12"/>
        <v>0.39015576556430231</v>
      </c>
      <c r="W19">
        <f t="shared" si="13"/>
        <v>0.35992730036277926</v>
      </c>
      <c r="X19">
        <f t="shared" si="14"/>
        <v>0.33056006867839444</v>
      </c>
    </row>
    <row r="20" spans="1:24" x14ac:dyDescent="0.3">
      <c r="A20">
        <v>9.8406842912832388</v>
      </c>
      <c r="B20">
        <v>7.2374005397829597</v>
      </c>
      <c r="C20">
        <v>2.5659562877380671</v>
      </c>
      <c r="D20">
        <v>4.0410106202441449</v>
      </c>
      <c r="E20">
        <v>2.0657166425912705</v>
      </c>
      <c r="F20">
        <v>3.1590319676884837</v>
      </c>
      <c r="G20">
        <f t="shared" si="4"/>
        <v>14.010857297639983</v>
      </c>
      <c r="H20">
        <f t="shared" si="4"/>
        <v>14.752361412031716</v>
      </c>
      <c r="I20">
        <f t="shared" si="4"/>
        <v>16.406029733645838</v>
      </c>
      <c r="J20">
        <f t="shared" si="5"/>
        <v>6.2208019042484786</v>
      </c>
      <c r="K20">
        <f t="shared" si="5"/>
        <v>6.9687240579263854</v>
      </c>
      <c r="L20">
        <f t="shared" si="5"/>
        <v>8.1000329277288632</v>
      </c>
      <c r="M20">
        <f t="shared" si="6"/>
        <v>4.1921918920568473</v>
      </c>
      <c r="N20">
        <f t="shared" si="6"/>
        <v>4.6296050148216619</v>
      </c>
      <c r="O20">
        <f t="shared" si="6"/>
        <v>5.11639993824872</v>
      </c>
      <c r="P20">
        <f t="shared" si="7"/>
        <v>0.16571037799995059</v>
      </c>
      <c r="Q20">
        <f t="shared" si="15"/>
        <v>0.15664830652860681</v>
      </c>
      <c r="R20">
        <f t="shared" si="8"/>
        <v>0.13925393955861334</v>
      </c>
      <c r="S20">
        <f t="shared" si="9"/>
        <v>0.19260864806280906</v>
      </c>
      <c r="T20">
        <f t="shared" si="10"/>
        <v>0.17069050469367056</v>
      </c>
      <c r="U20">
        <f t="shared" si="11"/>
        <v>0.14475959626767271</v>
      </c>
      <c r="V20">
        <f t="shared" si="12"/>
        <v>0.40906172602862673</v>
      </c>
      <c r="W20">
        <f t="shared" si="13"/>
        <v>0.37827705581838533</v>
      </c>
      <c r="X20">
        <f t="shared" si="14"/>
        <v>0.34822716760819161</v>
      </c>
    </row>
    <row r="21" spans="1:24" x14ac:dyDescent="0.3">
      <c r="A21">
        <v>13.203586313703234</v>
      </c>
      <c r="B21">
        <v>4.2524967652038388</v>
      </c>
      <c r="C21">
        <v>1.4105298636138022</v>
      </c>
      <c r="D21">
        <v>4.2787171273173303</v>
      </c>
      <c r="E21">
        <v>2.1872293862731098</v>
      </c>
      <c r="F21">
        <v>3.3448573775525121</v>
      </c>
      <c r="G21">
        <f t="shared" si="4"/>
        <v>14.010857297639983</v>
      </c>
      <c r="H21">
        <f t="shared" si="4"/>
        <v>14.752361412031716</v>
      </c>
      <c r="I21">
        <f t="shared" si="4"/>
        <v>16.406029733645838</v>
      </c>
      <c r="J21">
        <f t="shared" si="5"/>
        <v>6.2208019042484786</v>
      </c>
      <c r="K21">
        <f t="shared" si="5"/>
        <v>6.9687240579263854</v>
      </c>
      <c r="L21">
        <f t="shared" si="5"/>
        <v>8.1000329277288632</v>
      </c>
      <c r="M21">
        <f t="shared" si="6"/>
        <v>4.1921918920568473</v>
      </c>
      <c r="N21">
        <f t="shared" si="6"/>
        <v>4.6296050148216619</v>
      </c>
      <c r="O21">
        <f t="shared" si="6"/>
        <v>5.11639993824872</v>
      </c>
      <c r="P21">
        <f t="shared" si="7"/>
        <v>0.17623991346121937</v>
      </c>
      <c r="Q21">
        <f t="shared" si="15"/>
        <v>0.16671708852992442</v>
      </c>
      <c r="R21">
        <f t="shared" si="8"/>
        <v>0.14840141349076655</v>
      </c>
      <c r="S21">
        <f t="shared" si="9"/>
        <v>0.20442854617054992</v>
      </c>
      <c r="T21">
        <f t="shared" si="10"/>
        <v>0.18146765564700168</v>
      </c>
      <c r="U21">
        <f t="shared" si="11"/>
        <v>0.15420393987174941</v>
      </c>
      <c r="V21">
        <f t="shared" si="12"/>
        <v>0.42713754424603062</v>
      </c>
      <c r="W21">
        <f t="shared" si="13"/>
        <v>0.39590390887078108</v>
      </c>
      <c r="X21">
        <f t="shared" si="14"/>
        <v>0.36527644681166643</v>
      </c>
    </row>
    <row r="22" spans="1:24" x14ac:dyDescent="0.3">
      <c r="A22">
        <v>12.95052653841527</v>
      </c>
      <c r="B22">
        <v>18.145693546713019</v>
      </c>
      <c r="C22">
        <v>2.550583370711871</v>
      </c>
      <c r="D22">
        <v>4.5164236343905158</v>
      </c>
      <c r="E22">
        <v>2.3087421299549491</v>
      </c>
      <c r="F22">
        <v>3.5306827874165405</v>
      </c>
      <c r="G22">
        <f t="shared" si="4"/>
        <v>14.010857297639983</v>
      </c>
      <c r="H22">
        <f t="shared" si="4"/>
        <v>14.752361412031716</v>
      </c>
      <c r="I22">
        <f t="shared" si="4"/>
        <v>16.406029733645838</v>
      </c>
      <c r="J22">
        <f t="shared" si="5"/>
        <v>6.2208019042484786</v>
      </c>
      <c r="K22">
        <f t="shared" si="5"/>
        <v>6.9687240579263854</v>
      </c>
      <c r="L22">
        <f t="shared" si="5"/>
        <v>8.1000329277288632</v>
      </c>
      <c r="M22">
        <f t="shared" si="6"/>
        <v>4.1921918920568473</v>
      </c>
      <c r="N22">
        <f t="shared" si="6"/>
        <v>4.6296050148216619</v>
      </c>
      <c r="O22">
        <f t="shared" si="6"/>
        <v>5.11639993824872</v>
      </c>
      <c r="P22">
        <f t="shared" si="7"/>
        <v>0.1866774164154637</v>
      </c>
      <c r="Q22">
        <f t="shared" si="15"/>
        <v>0.17671160118045684</v>
      </c>
      <c r="R22">
        <f t="shared" si="8"/>
        <v>0.15750546360400669</v>
      </c>
      <c r="S22">
        <f t="shared" si="9"/>
        <v>0.21609753116266622</v>
      </c>
      <c r="T22">
        <f t="shared" si="10"/>
        <v>0.19214254724434982</v>
      </c>
      <c r="U22">
        <f t="shared" si="11"/>
        <v>0.16359557690646173</v>
      </c>
      <c r="V22">
        <f t="shared" si="12"/>
        <v>0.44441762297963211</v>
      </c>
      <c r="W22">
        <f t="shared" si="13"/>
        <v>0.41283100321990279</v>
      </c>
      <c r="X22">
        <f t="shared" si="14"/>
        <v>0.38172150150261519</v>
      </c>
    </row>
    <row r="23" spans="1:24" x14ac:dyDescent="0.3">
      <c r="A23">
        <v>11.862445048640662</v>
      </c>
      <c r="B23">
        <v>17.633439372799721</v>
      </c>
      <c r="C23">
        <v>2.373587969330782</v>
      </c>
      <c r="D23">
        <v>4.7541301414637012</v>
      </c>
      <c r="E23">
        <v>2.4302548736367884</v>
      </c>
      <c r="F23">
        <v>3.7165081972805689</v>
      </c>
      <c r="G23">
        <f t="shared" si="4"/>
        <v>14.010857297639983</v>
      </c>
      <c r="H23">
        <f t="shared" si="4"/>
        <v>14.752361412031716</v>
      </c>
      <c r="I23">
        <f t="shared" si="4"/>
        <v>16.406029733645838</v>
      </c>
      <c r="J23">
        <f t="shared" si="5"/>
        <v>6.2208019042484786</v>
      </c>
      <c r="K23">
        <f t="shared" si="5"/>
        <v>6.9687240579263854</v>
      </c>
      <c r="L23">
        <f t="shared" si="5"/>
        <v>8.1000329277288632</v>
      </c>
      <c r="M23">
        <f t="shared" si="6"/>
        <v>4.1921918920568473</v>
      </c>
      <c r="N23">
        <f t="shared" si="6"/>
        <v>4.6296050148216619</v>
      </c>
      <c r="O23">
        <f t="shared" si="6"/>
        <v>5.11639993824872</v>
      </c>
      <c r="P23">
        <f t="shared" si="7"/>
        <v>0.19701368967466312</v>
      </c>
      <c r="Q23">
        <f t="shared" si="15"/>
        <v>0.18662268563187759</v>
      </c>
      <c r="R23">
        <f t="shared" si="8"/>
        <v>0.16655727389119654</v>
      </c>
      <c r="S23">
        <f t="shared" si="9"/>
        <v>0.22760691937364866</v>
      </c>
      <c r="T23">
        <f t="shared" si="10"/>
        <v>0.20270600491239374</v>
      </c>
      <c r="U23">
        <f t="shared" si="11"/>
        <v>0.17292554639516386</v>
      </c>
      <c r="V23">
        <f t="shared" si="12"/>
        <v>0.46093704392404417</v>
      </c>
      <c r="W23">
        <f t="shared" si="13"/>
        <v>0.42908309502565206</v>
      </c>
      <c r="X23">
        <f t="shared" si="14"/>
        <v>0.39757814996697688</v>
      </c>
    </row>
    <row r="24" spans="1:24" x14ac:dyDescent="0.3">
      <c r="A24">
        <v>14.550469916944097</v>
      </c>
      <c r="B24">
        <v>10.644711082204241</v>
      </c>
      <c r="C24">
        <v>4.7325794959964416</v>
      </c>
      <c r="D24">
        <v>4.9918366485368866</v>
      </c>
      <c r="E24">
        <v>2.5517676173186277</v>
      </c>
      <c r="F24">
        <v>3.9023336071445973</v>
      </c>
      <c r="G24">
        <f t="shared" si="4"/>
        <v>14.010857297639983</v>
      </c>
      <c r="H24">
        <f t="shared" si="4"/>
        <v>14.752361412031716</v>
      </c>
      <c r="I24">
        <f t="shared" si="4"/>
        <v>16.406029733645838</v>
      </c>
      <c r="J24">
        <f t="shared" si="5"/>
        <v>6.2208019042484786</v>
      </c>
      <c r="K24">
        <f t="shared" si="5"/>
        <v>6.9687240579263854</v>
      </c>
      <c r="L24">
        <f t="shared" si="5"/>
        <v>8.1000329277288632</v>
      </c>
      <c r="M24">
        <f t="shared" si="6"/>
        <v>4.1921918920568473</v>
      </c>
      <c r="N24">
        <f t="shared" si="6"/>
        <v>4.6296050148216619</v>
      </c>
      <c r="O24">
        <f t="shared" si="6"/>
        <v>5.11639993824872</v>
      </c>
      <c r="P24">
        <f t="shared" si="7"/>
        <v>0.20724094476839355</v>
      </c>
      <c r="Q24">
        <f t="shared" si="15"/>
        <v>0.19644249080435403</v>
      </c>
      <c r="R24">
        <f t="shared" si="8"/>
        <v>0.1755491404160496</v>
      </c>
      <c r="S24">
        <f t="shared" si="9"/>
        <v>0.23894971960861888</v>
      </c>
      <c r="T24">
        <f t="shared" si="10"/>
        <v>0.21315031748590968</v>
      </c>
      <c r="U24">
        <f t="shared" si="11"/>
        <v>0.18218606134995535</v>
      </c>
      <c r="V24">
        <f t="shared" si="12"/>
        <v>0.47673089993950807</v>
      </c>
      <c r="W24">
        <f t="shared" si="13"/>
        <v>0.44468586148303096</v>
      </c>
      <c r="X24">
        <f t="shared" si="14"/>
        <v>0.41286376317849693</v>
      </c>
    </row>
    <row r="25" spans="1:24" x14ac:dyDescent="0.3">
      <c r="A25">
        <v>11.634478261429177</v>
      </c>
      <c r="B25">
        <v>7.3647897674709002</v>
      </c>
      <c r="C25">
        <v>2.4736324326741199</v>
      </c>
      <c r="D25">
        <v>5.229543155610072</v>
      </c>
      <c r="E25">
        <v>2.673280361000467</v>
      </c>
      <c r="F25">
        <v>4.0881590170086257</v>
      </c>
      <c r="G25">
        <f t="shared" si="4"/>
        <v>14.010857297639983</v>
      </c>
      <c r="H25">
        <f t="shared" si="4"/>
        <v>14.752361412031716</v>
      </c>
      <c r="I25">
        <f t="shared" si="4"/>
        <v>16.406029733645838</v>
      </c>
      <c r="J25">
        <f t="shared" si="5"/>
        <v>6.2208019042484786</v>
      </c>
      <c r="K25">
        <f t="shared" si="5"/>
        <v>6.9687240579263854</v>
      </c>
      <c r="L25">
        <f t="shared" si="5"/>
        <v>8.1000329277288632</v>
      </c>
      <c r="M25">
        <f t="shared" si="6"/>
        <v>4.1921918920568473</v>
      </c>
      <c r="N25">
        <f t="shared" si="6"/>
        <v>4.6296050148216619</v>
      </c>
      <c r="O25">
        <f t="shared" si="6"/>
        <v>5.11639993824872</v>
      </c>
      <c r="P25">
        <f t="shared" si="7"/>
        <v>0.21735262395335292</v>
      </c>
      <c r="Q25">
        <f t="shared" si="15"/>
        <v>0.2061643121647479</v>
      </c>
      <c r="R25">
        <f t="shared" si="8"/>
        <v>0.18447433972233904</v>
      </c>
      <c r="S25">
        <f t="shared" si="9"/>
        <v>0.25012040058987922</v>
      </c>
      <c r="T25">
        <f t="shared" si="10"/>
        <v>0.22346904963375153</v>
      </c>
      <c r="U25">
        <f t="shared" si="11"/>
        <v>0.19137036817488476</v>
      </c>
      <c r="V25">
        <f t="shared" si="12"/>
        <v>0.49183381060408099</v>
      </c>
      <c r="W25">
        <f t="shared" si="13"/>
        <v>0.45966537486065157</v>
      </c>
      <c r="X25">
        <f t="shared" si="14"/>
        <v>0.42759673817736699</v>
      </c>
    </row>
    <row r="26" spans="1:24" x14ac:dyDescent="0.3">
      <c r="A26">
        <v>7.3609910711477946</v>
      </c>
      <c r="B26">
        <v>6.3377103972790803</v>
      </c>
      <c r="C26">
        <v>2.0517874769579167</v>
      </c>
      <c r="D26">
        <v>5.4672496626832574</v>
      </c>
      <c r="E26">
        <v>2.7947931046823062</v>
      </c>
      <c r="F26">
        <v>4.2739844268726541</v>
      </c>
      <c r="G26">
        <f t="shared" si="4"/>
        <v>14.010857297639983</v>
      </c>
      <c r="H26">
        <f t="shared" si="4"/>
        <v>14.752361412031716</v>
      </c>
      <c r="I26">
        <f t="shared" si="4"/>
        <v>16.406029733645838</v>
      </c>
      <c r="J26">
        <f t="shared" si="5"/>
        <v>6.2208019042484786</v>
      </c>
      <c r="K26">
        <f t="shared" si="5"/>
        <v>6.9687240579263854</v>
      </c>
      <c r="L26">
        <f t="shared" si="5"/>
        <v>8.1000329277288632</v>
      </c>
      <c r="M26">
        <f t="shared" si="6"/>
        <v>4.1921918920568473</v>
      </c>
      <c r="N26">
        <f t="shared" si="6"/>
        <v>4.6296050148216619</v>
      </c>
      <c r="O26">
        <f t="shared" si="6"/>
        <v>5.11639993824872</v>
      </c>
      <c r="P26">
        <f t="shared" si="7"/>
        <v>0.22734324778519122</v>
      </c>
      <c r="Q26">
        <f t="shared" si="15"/>
        <v>0.21578245361938306</v>
      </c>
      <c r="R26">
        <f t="shared" si="8"/>
        <v>0.19332701618241938</v>
      </c>
      <c r="S26">
        <f t="shared" si="9"/>
        <v>0.26111469245199792</v>
      </c>
      <c r="T26">
        <f t="shared" si="10"/>
        <v>0.23365688127743514</v>
      </c>
      <c r="U26">
        <f t="shared" si="11"/>
        <v>0.20047262625940129</v>
      </c>
      <c r="V26">
        <f t="shared" si="12"/>
        <v>0.50627957702689319</v>
      </c>
      <c r="W26">
        <f t="shared" si="13"/>
        <v>0.47404770523642881</v>
      </c>
      <c r="X26">
        <f t="shared" si="14"/>
        <v>0.44179608532242698</v>
      </c>
    </row>
    <row r="27" spans="1:24" x14ac:dyDescent="0.3">
      <c r="A27">
        <v>11.951095475421797</v>
      </c>
      <c r="B27">
        <v>13.171999289547841</v>
      </c>
      <c r="C27">
        <v>1.4761260521861455</v>
      </c>
      <c r="D27">
        <v>5.7049561697564428</v>
      </c>
      <c r="E27">
        <v>2.9163058483641455</v>
      </c>
      <c r="F27">
        <v>4.4598098367366825</v>
      </c>
      <c r="G27">
        <f t="shared" si="4"/>
        <v>14.010857297639983</v>
      </c>
      <c r="H27">
        <f t="shared" si="4"/>
        <v>14.752361412031716</v>
      </c>
      <c r="I27">
        <f t="shared" si="4"/>
        <v>16.406029733645838</v>
      </c>
      <c r="J27">
        <f t="shared" si="5"/>
        <v>6.2208019042484786</v>
      </c>
      <c r="K27">
        <f t="shared" si="5"/>
        <v>6.9687240579263854</v>
      </c>
      <c r="L27">
        <f t="shared" si="5"/>
        <v>8.1000329277288632</v>
      </c>
      <c r="M27">
        <f t="shared" si="6"/>
        <v>4.1921918920568473</v>
      </c>
      <c r="N27">
        <f t="shared" si="6"/>
        <v>4.6296050148216619</v>
      </c>
      <c r="O27">
        <f t="shared" si="6"/>
        <v>5.11639993824872</v>
      </c>
      <c r="P27">
        <f t="shared" si="7"/>
        <v>0.23720828369253547</v>
      </c>
      <c r="Q27">
        <f t="shared" si="15"/>
        <v>0.22529210835375918</v>
      </c>
      <c r="R27">
        <f t="shared" si="8"/>
        <v>0.20210208479097758</v>
      </c>
      <c r="S27">
        <f t="shared" si="9"/>
        <v>0.27192941635086942</v>
      </c>
      <c r="T27">
        <f t="shared" si="10"/>
        <v>0.24370946921265185</v>
      </c>
      <c r="U27">
        <f t="shared" si="11"/>
        <v>0.20948780406509379</v>
      </c>
      <c r="V27">
        <f t="shared" si="12"/>
        <v>0.52010094240419391</v>
      </c>
      <c r="W27">
        <f t="shared" si="13"/>
        <v>0.48785862350942544</v>
      </c>
      <c r="X27">
        <f t="shared" si="14"/>
        <v>0.4554811060442624</v>
      </c>
    </row>
    <row r="28" spans="1:24" x14ac:dyDescent="0.3">
      <c r="A28">
        <v>9.5464175172108572</v>
      </c>
      <c r="B28">
        <v>6.9822547841503235</v>
      </c>
      <c r="C28">
        <v>2.6131188800568554</v>
      </c>
      <c r="D28">
        <v>5.9426626768296282</v>
      </c>
      <c r="E28">
        <v>3.0378185920459848</v>
      </c>
      <c r="F28">
        <v>4.6456352466007109</v>
      </c>
      <c r="G28">
        <f t="shared" si="4"/>
        <v>14.010857297639983</v>
      </c>
      <c r="H28">
        <f t="shared" si="4"/>
        <v>14.752361412031716</v>
      </c>
      <c r="I28">
        <f t="shared" si="4"/>
        <v>16.406029733645838</v>
      </c>
      <c r="J28">
        <f t="shared" si="5"/>
        <v>6.2208019042484786</v>
      </c>
      <c r="K28">
        <f t="shared" si="5"/>
        <v>6.9687240579263854</v>
      </c>
      <c r="L28">
        <f t="shared" si="5"/>
        <v>8.1000329277288632</v>
      </c>
      <c r="M28">
        <f t="shared" si="6"/>
        <v>4.1921918920568473</v>
      </c>
      <c r="N28">
        <f t="shared" si="6"/>
        <v>4.6296050148216619</v>
      </c>
      <c r="O28">
        <f t="shared" si="6"/>
        <v>5.11639993824872</v>
      </c>
      <c r="P28">
        <f t="shared" si="7"/>
        <v>0.24694403199990902</v>
      </c>
      <c r="Q28">
        <f t="shared" si="15"/>
        <v>0.23468925538174873</v>
      </c>
      <c r="R28">
        <f t="shared" si="8"/>
        <v>0.21079514670455193</v>
      </c>
      <c r="S28">
        <f t="shared" si="9"/>
        <v>0.28256233751895138</v>
      </c>
      <c r="T28">
        <f t="shared" si="10"/>
        <v>0.25362332719505432</v>
      </c>
      <c r="U28">
        <f t="shared" si="11"/>
        <v>0.21841158884481143</v>
      </c>
      <c r="V28">
        <f t="shared" si="12"/>
        <v>0.53332943271610889</v>
      </c>
      <c r="W28">
        <f t="shared" si="13"/>
        <v>0.50112338259758238</v>
      </c>
      <c r="X28">
        <f t="shared" si="14"/>
        <v>0.46867114269351423</v>
      </c>
    </row>
    <row r="29" spans="1:24" x14ac:dyDescent="0.3">
      <c r="A29">
        <v>7.4909233579404244</v>
      </c>
      <c r="B29">
        <v>4.7890654035584417</v>
      </c>
      <c r="C29">
        <v>2.299459825078245</v>
      </c>
      <c r="D29">
        <v>6.1803691839028136</v>
      </c>
      <c r="E29">
        <v>3.1593313357278241</v>
      </c>
      <c r="F29">
        <v>4.8314606564647393</v>
      </c>
      <c r="G29">
        <f t="shared" si="4"/>
        <v>14.010857297639983</v>
      </c>
      <c r="H29">
        <f t="shared" si="4"/>
        <v>14.752361412031716</v>
      </c>
      <c r="I29">
        <f t="shared" si="4"/>
        <v>16.406029733645838</v>
      </c>
      <c r="J29">
        <f t="shared" si="5"/>
        <v>6.2208019042484786</v>
      </c>
      <c r="K29">
        <f t="shared" si="5"/>
        <v>6.9687240579263854</v>
      </c>
      <c r="L29">
        <f t="shared" si="5"/>
        <v>8.1000329277288632</v>
      </c>
      <c r="M29">
        <f t="shared" si="6"/>
        <v>4.1921918920568473</v>
      </c>
      <c r="N29">
        <f t="shared" si="6"/>
        <v>4.6296050148216619</v>
      </c>
      <c r="O29">
        <f t="shared" si="6"/>
        <v>5.11639993824872</v>
      </c>
      <c r="P29">
        <f t="shared" si="7"/>
        <v>0.25654752659057822</v>
      </c>
      <c r="Q29">
        <f t="shared" si="15"/>
        <v>0.24397056925302249</v>
      </c>
      <c r="R29">
        <f t="shared" si="8"/>
        <v>0.21940241541168598</v>
      </c>
      <c r="S29">
        <f t="shared" si="9"/>
        <v>0.29301203804294856</v>
      </c>
      <c r="T29">
        <f t="shared" si="10"/>
        <v>0.2633957215296725</v>
      </c>
      <c r="U29">
        <f t="shared" si="11"/>
        <v>0.22724030774860909</v>
      </c>
      <c r="V29">
        <f t="shared" si="12"/>
        <v>0.54599525795151715</v>
      </c>
      <c r="W29">
        <f t="shared" si="13"/>
        <v>0.51386655957783545</v>
      </c>
      <c r="X29">
        <f t="shared" si="14"/>
        <v>0.48138538590782914</v>
      </c>
    </row>
    <row r="30" spans="1:24" x14ac:dyDescent="0.3">
      <c r="A30">
        <v>4.9049261347626869</v>
      </c>
      <c r="B30">
        <v>4.9857790031757112</v>
      </c>
      <c r="C30">
        <v>2.7155029876057504</v>
      </c>
      <c r="D30">
        <v>6.4180756909759991</v>
      </c>
      <c r="E30">
        <v>3.2808440794096634</v>
      </c>
      <c r="F30">
        <v>5.0172860663287677</v>
      </c>
      <c r="G30">
        <f t="shared" si="4"/>
        <v>14.010857297639983</v>
      </c>
      <c r="H30">
        <f t="shared" si="4"/>
        <v>14.752361412031716</v>
      </c>
      <c r="I30">
        <f t="shared" si="4"/>
        <v>16.406029733645838</v>
      </c>
      <c r="J30">
        <f t="shared" si="5"/>
        <v>6.2208019042484786</v>
      </c>
      <c r="K30">
        <f t="shared" si="5"/>
        <v>6.9687240579263854</v>
      </c>
      <c r="L30">
        <f t="shared" si="5"/>
        <v>8.1000329277288632</v>
      </c>
      <c r="M30">
        <f t="shared" si="6"/>
        <v>4.1921918920568473</v>
      </c>
      <c r="N30">
        <f t="shared" si="6"/>
        <v>4.6296050148216619</v>
      </c>
      <c r="O30">
        <f t="shared" si="6"/>
        <v>5.11639993824872</v>
      </c>
      <c r="P30">
        <f t="shared" si="7"/>
        <v>0.26601644795944079</v>
      </c>
      <c r="Q30">
        <f t="shared" si="15"/>
        <v>0.25313334088164308</v>
      </c>
      <c r="R30">
        <f t="shared" si="8"/>
        <v>0.22792065185481894</v>
      </c>
      <c r="S30">
        <f t="shared" si="9"/>
        <v>0.30327780635554907</v>
      </c>
      <c r="T30">
        <f t="shared" si="10"/>
        <v>0.27302457978854999</v>
      </c>
      <c r="U30">
        <f t="shared" si="11"/>
        <v>0.23597085853083907</v>
      </c>
      <c r="V30">
        <f t="shared" si="12"/>
        <v>0.55812725880669267</v>
      </c>
      <c r="W30">
        <f t="shared" si="13"/>
        <v>0.52611194526344118</v>
      </c>
      <c r="X30">
        <f t="shared" si="14"/>
        <v>0.4936427279004873</v>
      </c>
    </row>
    <row r="31" spans="1:24" x14ac:dyDescent="0.3">
      <c r="A31">
        <v>10.046987012370103</v>
      </c>
      <c r="B31">
        <v>8.0300562368824053</v>
      </c>
      <c r="C31">
        <v>2.6895615429489177</v>
      </c>
      <c r="D31">
        <v>6.6557821980491845</v>
      </c>
      <c r="E31">
        <v>3.4023568230915027</v>
      </c>
      <c r="F31">
        <v>5.2031114761927961</v>
      </c>
      <c r="G31">
        <f t="shared" si="4"/>
        <v>14.010857297639983</v>
      </c>
      <c r="H31">
        <f t="shared" si="4"/>
        <v>14.752361412031716</v>
      </c>
      <c r="I31">
        <f t="shared" si="4"/>
        <v>16.406029733645838</v>
      </c>
      <c r="J31">
        <f t="shared" si="5"/>
        <v>6.2208019042484786</v>
      </c>
      <c r="K31">
        <f t="shared" si="5"/>
        <v>6.9687240579263854</v>
      </c>
      <c r="L31">
        <f t="shared" si="5"/>
        <v>8.1000329277288632</v>
      </c>
      <c r="M31">
        <f t="shared" si="6"/>
        <v>4.1921918920568473</v>
      </c>
      <c r="N31">
        <f t="shared" si="6"/>
        <v>4.6296050148216619</v>
      </c>
      <c r="O31">
        <f t="shared" si="6"/>
        <v>5.11639993824872</v>
      </c>
      <c r="P31">
        <f t="shared" si="7"/>
        <v>0.27534904683222983</v>
      </c>
      <c r="Q31">
        <f t="shared" si="15"/>
        <v>0.26217540784967691</v>
      </c>
      <c r="R31">
        <f t="shared" si="8"/>
        <v>0.23634710715527779</v>
      </c>
      <c r="S31">
        <f t="shared" si="9"/>
        <v>0.3133595409831616</v>
      </c>
      <c r="T31">
        <f t="shared" si="10"/>
        <v>0.28250841072797983</v>
      </c>
      <c r="U31">
        <f t="shared" si="11"/>
        <v>0.24460064842128659</v>
      </c>
      <c r="V31">
        <f t="shared" si="12"/>
        <v>0.56975288728882101</v>
      </c>
      <c r="W31">
        <f t="shared" si="13"/>
        <v>0.53788247061433547</v>
      </c>
      <c r="X31">
        <f t="shared" si="14"/>
        <v>0.50546165241025809</v>
      </c>
    </row>
    <row r="32" spans="1:24" x14ac:dyDescent="0.3">
      <c r="A32">
        <v>6.2217571892870671</v>
      </c>
      <c r="B32">
        <v>9.4104404694619816</v>
      </c>
      <c r="C32">
        <v>2.2567088919574929</v>
      </c>
      <c r="D32">
        <v>6.8934887051223699</v>
      </c>
      <c r="E32">
        <v>3.523869566773342</v>
      </c>
      <c r="F32">
        <v>5.3889368860568245</v>
      </c>
      <c r="G32">
        <f t="shared" si="4"/>
        <v>14.010857297639983</v>
      </c>
      <c r="H32">
        <f t="shared" si="4"/>
        <v>14.752361412031716</v>
      </c>
      <c r="I32">
        <f t="shared" si="4"/>
        <v>16.406029733645838</v>
      </c>
      <c r="J32">
        <f t="shared" si="5"/>
        <v>6.2208019042484786</v>
      </c>
      <c r="K32">
        <f t="shared" si="5"/>
        <v>6.9687240579263854</v>
      </c>
      <c r="L32">
        <f t="shared" si="5"/>
        <v>8.1000329277288632</v>
      </c>
      <c r="M32">
        <f t="shared" si="6"/>
        <v>4.1921918920568473</v>
      </c>
      <c r="N32">
        <f t="shared" si="6"/>
        <v>4.6296050148216619</v>
      </c>
      <c r="O32">
        <f t="shared" si="6"/>
        <v>5.11639993824872</v>
      </c>
      <c r="P32">
        <f t="shared" si="7"/>
        <v>0.28454407685659711</v>
      </c>
      <c r="Q32">
        <f t="shared" si="15"/>
        <v>0.27109509284087008</v>
      </c>
      <c r="R32">
        <f t="shared" si="8"/>
        <v>0.24467947184602518</v>
      </c>
      <c r="S32">
        <f t="shared" si="9"/>
        <v>0.32325766652099452</v>
      </c>
      <c r="T32">
        <f t="shared" si="10"/>
        <v>0.29184623382253116</v>
      </c>
      <c r="U32">
        <f t="shared" si="11"/>
        <v>0.25312753999093957</v>
      </c>
      <c r="V32">
        <f t="shared" si="12"/>
        <v>0.58089821233090488</v>
      </c>
      <c r="W32">
        <f t="shared" si="13"/>
        <v>0.54920016163885421</v>
      </c>
      <c r="X32">
        <f t="shared" si="14"/>
        <v>0.51686015389597539</v>
      </c>
    </row>
    <row r="33" spans="1:24" x14ac:dyDescent="0.3">
      <c r="A33">
        <v>13.280012667726151</v>
      </c>
      <c r="B33">
        <v>11.72301422589689</v>
      </c>
      <c r="C33">
        <v>1.9466786820004289</v>
      </c>
      <c r="D33">
        <v>7.1311952121955553</v>
      </c>
      <c r="E33">
        <v>3.6453823104551812</v>
      </c>
      <c r="F33">
        <v>5.5747622959208529</v>
      </c>
      <c r="G33">
        <f t="shared" si="4"/>
        <v>14.010857297639983</v>
      </c>
      <c r="H33">
        <f t="shared" si="4"/>
        <v>14.752361412031716</v>
      </c>
      <c r="I33">
        <f t="shared" si="4"/>
        <v>16.406029733645838</v>
      </c>
      <c r="J33">
        <f t="shared" si="5"/>
        <v>6.2208019042484786</v>
      </c>
      <c r="K33">
        <f t="shared" si="5"/>
        <v>6.9687240579263854</v>
      </c>
      <c r="L33">
        <f t="shared" si="5"/>
        <v>8.1000329277288632</v>
      </c>
      <c r="M33">
        <f t="shared" si="6"/>
        <v>4.1921918920568473</v>
      </c>
      <c r="N33">
        <f t="shared" si="6"/>
        <v>4.6296050148216619</v>
      </c>
      <c r="O33">
        <f t="shared" si="6"/>
        <v>5.11639993824872</v>
      </c>
      <c r="P33">
        <f t="shared" si="7"/>
        <v>0.29360073512834978</v>
      </c>
      <c r="Q33">
        <f t="shared" si="15"/>
        <v>0.27989114909443435</v>
      </c>
      <c r="R33">
        <f t="shared" si="8"/>
        <v>0.25291583071344631</v>
      </c>
      <c r="S33">
        <f t="shared" si="9"/>
        <v>0.3329730601461896</v>
      </c>
      <c r="T33">
        <f t="shared" si="10"/>
        <v>0.30103751710417681</v>
      </c>
      <c r="U33">
        <f t="shared" si="11"/>
        <v>0.2615498030510976</v>
      </c>
      <c r="V33">
        <f t="shared" si="12"/>
        <v>0.59158794358453537</v>
      </c>
      <c r="W33">
        <f t="shared" si="13"/>
        <v>0.56008611621702331</v>
      </c>
      <c r="X33">
        <f t="shared" si="14"/>
        <v>0.52785568002229333</v>
      </c>
    </row>
    <row r="34" spans="1:24" x14ac:dyDescent="0.3">
      <c r="A34">
        <v>11.11068078533375</v>
      </c>
      <c r="B34">
        <v>11.083500216456144</v>
      </c>
      <c r="C34">
        <v>2.9646769170667628</v>
      </c>
      <c r="D34">
        <v>7.3689017192687407</v>
      </c>
      <c r="E34">
        <v>3.7668950541370205</v>
      </c>
      <c r="F34">
        <v>5.7605877057848813</v>
      </c>
      <c r="G34">
        <f t="shared" si="4"/>
        <v>14.010857297639983</v>
      </c>
      <c r="H34">
        <f t="shared" si="4"/>
        <v>14.752361412031716</v>
      </c>
      <c r="I34">
        <f t="shared" si="4"/>
        <v>16.406029733645838</v>
      </c>
      <c r="J34">
        <f t="shared" si="5"/>
        <v>6.2208019042484786</v>
      </c>
      <c r="K34">
        <f t="shared" si="5"/>
        <v>6.9687240579263854</v>
      </c>
      <c r="L34">
        <f t="shared" si="5"/>
        <v>8.1000329277288632</v>
      </c>
      <c r="M34">
        <f t="shared" si="6"/>
        <v>4.1921918920568473</v>
      </c>
      <c r="N34">
        <f t="shared" si="6"/>
        <v>4.6296050148216619</v>
      </c>
      <c r="O34">
        <f t="shared" si="6"/>
        <v>5.11639993824872</v>
      </c>
      <c r="P34">
        <f t="shared" si="7"/>
        <v>0.30251860952018089</v>
      </c>
      <c r="Q34">
        <f t="shared" si="15"/>
        <v>0.28856271195448774</v>
      </c>
      <c r="R34">
        <f t="shared" si="8"/>
        <v>0.26105462250382311</v>
      </c>
      <c r="S34">
        <f t="shared" si="9"/>
        <v>0.34250698725113748</v>
      </c>
      <c r="T34">
        <f t="shared" si="10"/>
        <v>0.31008212220990394</v>
      </c>
      <c r="U34">
        <f t="shared" si="11"/>
        <v>0.26986607178817168</v>
      </c>
      <c r="V34">
        <f t="shared" si="12"/>
        <v>0.60184546814699968</v>
      </c>
      <c r="W34">
        <f t="shared" si="13"/>
        <v>0.57056049766803263</v>
      </c>
      <c r="X34">
        <f t="shared" si="14"/>
        <v>0.53846509264897335</v>
      </c>
    </row>
    <row r="35" spans="1:24" x14ac:dyDescent="0.3">
      <c r="A35">
        <v>14.00661367589556</v>
      </c>
      <c r="B35">
        <v>6.7533861193742224</v>
      </c>
      <c r="C35">
        <v>1.6513757467886623</v>
      </c>
      <c r="D35">
        <v>7.6066082263419261</v>
      </c>
      <c r="E35">
        <v>3.8884077978188598</v>
      </c>
      <c r="F35">
        <v>5.9464131156489097</v>
      </c>
      <c r="G35">
        <f t="shared" si="4"/>
        <v>14.010857297639983</v>
      </c>
      <c r="H35">
        <f t="shared" si="4"/>
        <v>14.752361412031716</v>
      </c>
      <c r="I35">
        <f t="shared" si="4"/>
        <v>16.406029733645838</v>
      </c>
      <c r="J35">
        <f t="shared" si="5"/>
        <v>6.2208019042484786</v>
      </c>
      <c r="K35">
        <f t="shared" si="5"/>
        <v>6.9687240579263854</v>
      </c>
      <c r="L35">
        <f t="shared" si="5"/>
        <v>8.1000329277288632</v>
      </c>
      <c r="M35">
        <f t="shared" si="6"/>
        <v>4.1921918920568473</v>
      </c>
      <c r="N35">
        <f t="shared" si="6"/>
        <v>4.6296050148216619</v>
      </c>
      <c r="O35">
        <f t="shared" si="6"/>
        <v>5.11639993824872</v>
      </c>
      <c r="P35">
        <f t="shared" si="7"/>
        <v>0.31129763194363191</v>
      </c>
      <c r="Q35">
        <f t="shared" si="15"/>
        <v>0.29710925573873387</v>
      </c>
      <c r="R35">
        <f t="shared" si="8"/>
        <v>0.26909460387262985</v>
      </c>
      <c r="S35">
        <f t="shared" si="9"/>
        <v>0.35186104499852994</v>
      </c>
      <c r="T35">
        <f t="shared" si="10"/>
        <v>0.31898025571372057</v>
      </c>
      <c r="U35">
        <f t="shared" si="11"/>
        <v>0.27807530646660122</v>
      </c>
      <c r="V35">
        <f t="shared" si="12"/>
        <v>0.61169289620873157</v>
      </c>
      <c r="W35">
        <f t="shared" si="13"/>
        <v>0.58064254098179902</v>
      </c>
      <c r="X35">
        <f t="shared" si="14"/>
        <v>0.5487046434686762</v>
      </c>
    </row>
    <row r="36" spans="1:24" x14ac:dyDescent="0.3">
      <c r="A36">
        <v>14.015100919384405</v>
      </c>
      <c r="B36">
        <v>5.8438442608557306</v>
      </c>
      <c r="C36">
        <v>3.095550165573608</v>
      </c>
      <c r="D36">
        <v>7.8443147334151115</v>
      </c>
      <c r="E36">
        <v>4.0099205415006995</v>
      </c>
      <c r="F36">
        <v>6.1322385255129381</v>
      </c>
      <c r="G36">
        <f t="shared" ref="G36:I67" si="16">PERCENTILE($A$3:$A$106, G$1)</f>
        <v>14.010857297639983</v>
      </c>
      <c r="H36">
        <f t="shared" si="16"/>
        <v>14.752361412031716</v>
      </c>
      <c r="I36">
        <f t="shared" si="16"/>
        <v>16.406029733645838</v>
      </c>
      <c r="J36">
        <f t="shared" ref="J36:L67" si="17">PERCENTILE($B$3:$B$106, J$1)</f>
        <v>6.2208019042484786</v>
      </c>
      <c r="K36">
        <f t="shared" si="17"/>
        <v>6.9687240579263854</v>
      </c>
      <c r="L36">
        <f t="shared" si="17"/>
        <v>8.1000329277288632</v>
      </c>
      <c r="M36">
        <f t="shared" ref="M36:O67" si="18">PERCENTILE($C$3:$C$106, M$1)</f>
        <v>4.1921918920568473</v>
      </c>
      <c r="N36">
        <f t="shared" si="18"/>
        <v>4.6296050148216619</v>
      </c>
      <c r="O36">
        <f t="shared" si="18"/>
        <v>5.11639993824872</v>
      </c>
      <c r="P36">
        <f t="shared" si="7"/>
        <v>0.31993803680719607</v>
      </c>
      <c r="Q36">
        <f t="shared" si="15"/>
        <v>0.3055305552693155</v>
      </c>
      <c r="R36">
        <f t="shared" si="8"/>
        <v>0.27703481705294153</v>
      </c>
      <c r="S36">
        <f t="shared" si="9"/>
        <v>0.36103711277886041</v>
      </c>
      <c r="T36">
        <f t="shared" si="10"/>
        <v>0.32773242595877777</v>
      </c>
      <c r="U36">
        <f t="shared" si="11"/>
        <v>0.2861767591367429</v>
      </c>
      <c r="V36">
        <f t="shared" si="12"/>
        <v>0.62115111255918642</v>
      </c>
      <c r="W36">
        <f t="shared" si="13"/>
        <v>0.59035056850127221</v>
      </c>
      <c r="X36">
        <f t="shared" si="14"/>
        <v>0.5585899611866032</v>
      </c>
    </row>
    <row r="37" spans="1:24" x14ac:dyDescent="0.3">
      <c r="A37">
        <v>21.755939985046645</v>
      </c>
      <c r="B37">
        <v>8.165055395913086</v>
      </c>
      <c r="C37">
        <v>5.1553712353689729</v>
      </c>
      <c r="D37">
        <v>8.082021240488297</v>
      </c>
      <c r="E37">
        <v>4.1314332851825393</v>
      </c>
      <c r="F37">
        <v>6.3180639353769665</v>
      </c>
      <c r="G37">
        <f t="shared" si="16"/>
        <v>14.010857297639983</v>
      </c>
      <c r="H37">
        <f t="shared" si="16"/>
        <v>14.752361412031716</v>
      </c>
      <c r="I37">
        <f t="shared" si="16"/>
        <v>16.406029733645838</v>
      </c>
      <c r="J37">
        <f t="shared" si="17"/>
        <v>6.2208019042484786</v>
      </c>
      <c r="K37">
        <f t="shared" si="17"/>
        <v>6.9687240579263854</v>
      </c>
      <c r="L37">
        <f t="shared" si="17"/>
        <v>8.1000329277288632</v>
      </c>
      <c r="M37">
        <f t="shared" si="18"/>
        <v>4.1921918920568473</v>
      </c>
      <c r="N37">
        <f t="shared" si="18"/>
        <v>4.6296050148216619</v>
      </c>
      <c r="O37">
        <f t="shared" si="18"/>
        <v>5.11639993824872</v>
      </c>
      <c r="P37">
        <f t="shared" si="7"/>
        <v>0.32844032404140672</v>
      </c>
      <c r="Q37">
        <f t="shared" si="15"/>
        <v>0.31382665150592476</v>
      </c>
      <c r="R37">
        <f t="shared" si="8"/>
        <v>0.28487456079864992</v>
      </c>
      <c r="S37">
        <f t="shared" si="9"/>
        <v>0.37003730869868079</v>
      </c>
      <c r="T37">
        <f t="shared" si="10"/>
        <v>0.33633940471970458</v>
      </c>
      <c r="U37">
        <f t="shared" si="11"/>
        <v>0.29416994286921966</v>
      </c>
      <c r="V37">
        <f t="shared" si="12"/>
        <v>0.63023983162704045</v>
      </c>
      <c r="W37">
        <f t="shared" si="13"/>
        <v>0.59970201252804467</v>
      </c>
      <c r="X37">
        <f t="shared" si="14"/>
        <v>0.56813604773746484</v>
      </c>
    </row>
    <row r="38" spans="1:24" x14ac:dyDescent="0.3">
      <c r="A38">
        <v>43.003268097785288</v>
      </c>
      <c r="B38">
        <v>8.9822229364532529</v>
      </c>
      <c r="C38">
        <v>3.9082743122166077</v>
      </c>
      <c r="D38">
        <v>8.3197277475614815</v>
      </c>
      <c r="E38">
        <v>4.252946028864379</v>
      </c>
      <c r="F38">
        <v>6.5038893452409949</v>
      </c>
      <c r="G38">
        <f t="shared" si="16"/>
        <v>14.010857297639983</v>
      </c>
      <c r="H38">
        <f t="shared" si="16"/>
        <v>14.752361412031716</v>
      </c>
      <c r="I38">
        <f t="shared" si="16"/>
        <v>16.406029733645838</v>
      </c>
      <c r="J38">
        <f t="shared" si="17"/>
        <v>6.2208019042484786</v>
      </c>
      <c r="K38">
        <f t="shared" si="17"/>
        <v>6.9687240579263854</v>
      </c>
      <c r="L38">
        <f t="shared" si="17"/>
        <v>8.1000329277288632</v>
      </c>
      <c r="M38">
        <f t="shared" si="18"/>
        <v>4.1921918920568473</v>
      </c>
      <c r="N38">
        <f t="shared" si="18"/>
        <v>4.6296050148216619</v>
      </c>
      <c r="O38">
        <f t="shared" si="18"/>
        <v>5.11639993824872</v>
      </c>
      <c r="P38">
        <f t="shared" si="7"/>
        <v>0.33680522615067787</v>
      </c>
      <c r="Q38">
        <f t="shared" si="15"/>
        <v>0.32199782080102718</v>
      </c>
      <c r="R38">
        <f t="shared" si="8"/>
        <v>0.29261336422297546</v>
      </c>
      <c r="S38">
        <f t="shared" si="9"/>
        <v>0.37886395135050993</v>
      </c>
      <c r="T38">
        <f t="shared" si="10"/>
        <v>0.34480219311964944</v>
      </c>
      <c r="U38">
        <f t="shared" si="11"/>
        <v>0.30205460410642632</v>
      </c>
      <c r="V38">
        <f t="shared" si="12"/>
        <v>0.63897765430257492</v>
      </c>
      <c r="W38">
        <f t="shared" si="13"/>
        <v>0.60871344286740792</v>
      </c>
      <c r="X38">
        <f t="shared" si="14"/>
        <v>0.57735728152080878</v>
      </c>
    </row>
    <row r="39" spans="1:24" x14ac:dyDescent="0.3">
      <c r="A39">
        <v>35.112563373379494</v>
      </c>
      <c r="B39">
        <v>6.6168889482419067</v>
      </c>
      <c r="C39">
        <v>4.0242411689453332</v>
      </c>
      <c r="D39">
        <v>8.557434254634666</v>
      </c>
      <c r="E39">
        <v>4.3744587725462187</v>
      </c>
      <c r="F39">
        <v>6.6897147551050233</v>
      </c>
      <c r="G39">
        <f t="shared" si="16"/>
        <v>14.010857297639983</v>
      </c>
      <c r="H39">
        <f t="shared" si="16"/>
        <v>14.752361412031716</v>
      </c>
      <c r="I39">
        <f t="shared" si="16"/>
        <v>16.406029733645838</v>
      </c>
      <c r="J39">
        <f t="shared" si="17"/>
        <v>6.2208019042484786</v>
      </c>
      <c r="K39">
        <f t="shared" si="17"/>
        <v>6.9687240579263854</v>
      </c>
      <c r="L39">
        <f t="shared" si="17"/>
        <v>8.1000329277288632</v>
      </c>
      <c r="M39">
        <f t="shared" si="18"/>
        <v>4.1921918920568473</v>
      </c>
      <c r="N39">
        <f t="shared" si="18"/>
        <v>4.6296050148216619</v>
      </c>
      <c r="O39">
        <f t="shared" si="18"/>
        <v>5.11639993824872</v>
      </c>
      <c r="P39">
        <f t="shared" si="7"/>
        <v>0.3450336788255377</v>
      </c>
      <c r="Q39">
        <f t="shared" si="15"/>
        <v>0.33004454736312611</v>
      </c>
      <c r="R39">
        <f t="shared" si="8"/>
        <v>0.30025096320609168</v>
      </c>
      <c r="S39">
        <f t="shared" si="9"/>
        <v>0.38751952621786595</v>
      </c>
      <c r="T39">
        <f t="shared" si="10"/>
        <v>0.35312199130505528</v>
      </c>
      <c r="U39">
        <f t="shared" si="11"/>
        <v>0.3098306977789464</v>
      </c>
      <c r="V39">
        <f t="shared" si="12"/>
        <v>0.64738212523334315</v>
      </c>
      <c r="W39">
        <f t="shared" si="13"/>
        <v>0.61740059776025025</v>
      </c>
      <c r="X39">
        <f t="shared" si="14"/>
        <v>0.58626742602799631</v>
      </c>
    </row>
    <row r="40" spans="1:24" x14ac:dyDescent="0.3">
      <c r="A40">
        <v>23.673769629984093</v>
      </c>
      <c r="B40">
        <v>6.9146011530306328</v>
      </c>
      <c r="C40">
        <v>7.2247129604684908</v>
      </c>
      <c r="D40">
        <v>8.7951407617078505</v>
      </c>
      <c r="E40">
        <v>4.4959715162280585</v>
      </c>
      <c r="F40">
        <v>6.8755401649690517</v>
      </c>
      <c r="G40">
        <f t="shared" si="16"/>
        <v>14.010857297639983</v>
      </c>
      <c r="H40">
        <f t="shared" si="16"/>
        <v>14.752361412031716</v>
      </c>
      <c r="I40">
        <f t="shared" si="16"/>
        <v>16.406029733645838</v>
      </c>
      <c r="J40">
        <f t="shared" si="17"/>
        <v>6.2208019042484786</v>
      </c>
      <c r="K40">
        <f t="shared" si="17"/>
        <v>6.9687240579263854</v>
      </c>
      <c r="L40">
        <f t="shared" si="17"/>
        <v>8.1000329277288632</v>
      </c>
      <c r="M40">
        <f t="shared" si="18"/>
        <v>4.1921918920568473</v>
      </c>
      <c r="N40">
        <f t="shared" si="18"/>
        <v>4.6296050148216619</v>
      </c>
      <c r="O40">
        <f t="shared" si="18"/>
        <v>5.11639993824872</v>
      </c>
      <c r="P40">
        <f t="shared" si="7"/>
        <v>0.35312679471070985</v>
      </c>
      <c r="Q40">
        <f t="shared" si="15"/>
        <v>0.33796749856911107</v>
      </c>
      <c r="R40">
        <f t="shared" si="8"/>
        <v>0.30778727908989195</v>
      </c>
      <c r="S40">
        <f t="shared" si="9"/>
        <v>0.39600665615528508</v>
      </c>
      <c r="T40">
        <f t="shared" si="10"/>
        <v>0.36130017144702087</v>
      </c>
      <c r="U40">
        <f t="shared" si="11"/>
        <v>0.3174983648820518</v>
      </c>
      <c r="V40">
        <f t="shared" si="12"/>
        <v>0.65546978962743319</v>
      </c>
      <c r="W40">
        <f t="shared" si="13"/>
        <v>0.62577841699153736</v>
      </c>
      <c r="X40">
        <f t="shared" si="14"/>
        <v>0.59487964255151682</v>
      </c>
    </row>
    <row r="41" spans="1:24" x14ac:dyDescent="0.3">
      <c r="A41">
        <v>15.088447803300564</v>
      </c>
      <c r="B41">
        <v>5.1668308017094464</v>
      </c>
      <c r="C41">
        <v>4.3155069144872513</v>
      </c>
      <c r="D41">
        <v>9.0328472687810351</v>
      </c>
      <c r="E41">
        <v>4.6174842599098982</v>
      </c>
      <c r="F41">
        <v>7.0613655748330801</v>
      </c>
      <c r="G41">
        <f t="shared" si="16"/>
        <v>14.010857297639983</v>
      </c>
      <c r="H41">
        <f t="shared" si="16"/>
        <v>14.752361412031716</v>
      </c>
      <c r="I41">
        <f t="shared" si="16"/>
        <v>16.406029733645838</v>
      </c>
      <c r="J41">
        <f t="shared" si="17"/>
        <v>6.2208019042484786</v>
      </c>
      <c r="K41">
        <f t="shared" si="17"/>
        <v>6.9687240579263854</v>
      </c>
      <c r="L41">
        <f t="shared" si="17"/>
        <v>8.1000329277288632</v>
      </c>
      <c r="M41">
        <f t="shared" si="18"/>
        <v>4.1921918920568473</v>
      </c>
      <c r="N41">
        <f t="shared" si="18"/>
        <v>4.6296050148216619</v>
      </c>
      <c r="O41">
        <f t="shared" si="18"/>
        <v>5.11639993824872</v>
      </c>
      <c r="P41">
        <f t="shared" si="7"/>
        <v>0.3610858399766016</v>
      </c>
      <c r="Q41">
        <f t="shared" si="15"/>
        <v>0.34576750281307284</v>
      </c>
      <c r="R41">
        <f t="shared" si="8"/>
        <v>0.31522239941487351</v>
      </c>
      <c r="S41">
        <f t="shared" si="9"/>
        <v>0.40432807545640786</v>
      </c>
      <c r="T41">
        <f t="shared" si="10"/>
        <v>0.36933825369365125</v>
      </c>
      <c r="U41">
        <f t="shared" si="11"/>
        <v>0.32505791224714725</v>
      </c>
      <c r="V41">
        <f t="shared" si="12"/>
        <v>0.66325624886395307</v>
      </c>
      <c r="W41">
        <f t="shared" si="13"/>
        <v>0.63386107623698273</v>
      </c>
      <c r="X41">
        <f t="shared" si="14"/>
        <v>0.60320650592444525</v>
      </c>
    </row>
    <row r="42" spans="1:24" x14ac:dyDescent="0.3">
      <c r="A42">
        <v>17.18715885021652</v>
      </c>
      <c r="B42">
        <v>3.1641989126696783</v>
      </c>
      <c r="C42">
        <v>9.5752952391916626</v>
      </c>
      <c r="D42">
        <v>9.2705537758542196</v>
      </c>
      <c r="E42">
        <v>4.7389970035917379</v>
      </c>
      <c r="F42">
        <v>7.2471909846971085</v>
      </c>
      <c r="G42">
        <f t="shared" si="16"/>
        <v>14.010857297639983</v>
      </c>
      <c r="H42">
        <f t="shared" si="16"/>
        <v>14.752361412031716</v>
      </c>
      <c r="I42">
        <f t="shared" si="16"/>
        <v>16.406029733645838</v>
      </c>
      <c r="J42">
        <f t="shared" si="17"/>
        <v>6.2208019042484786</v>
      </c>
      <c r="K42">
        <f t="shared" si="17"/>
        <v>6.9687240579263854</v>
      </c>
      <c r="L42">
        <f t="shared" si="17"/>
        <v>8.1000329277288632</v>
      </c>
      <c r="M42">
        <f t="shared" si="18"/>
        <v>4.1921918920568473</v>
      </c>
      <c r="N42">
        <f t="shared" si="18"/>
        <v>4.6296050148216619</v>
      </c>
      <c r="O42">
        <f t="shared" si="18"/>
        <v>5.11639993824872</v>
      </c>
      <c r="P42">
        <f t="shared" si="7"/>
        <v>0.36891221338595226</v>
      </c>
      <c r="Q42">
        <f t="shared" si="15"/>
        <v>0.35344552961816555</v>
      </c>
      <c r="R42">
        <f t="shared" si="8"/>
        <v>0.32255656048519121</v>
      </c>
      <c r="S42">
        <f t="shared" si="9"/>
        <v>0.41248660708557744</v>
      </c>
      <c r="T42">
        <f t="shared" si="10"/>
        <v>0.37723788474497444</v>
      </c>
      <c r="U42">
        <f t="shared" si="11"/>
        <v>0.33250979427647331</v>
      </c>
      <c r="V42">
        <f t="shared" si="12"/>
        <v>0.6707562144150051</v>
      </c>
      <c r="W42">
        <f t="shared" si="13"/>
        <v>0.64166202192535771</v>
      </c>
      <c r="X42">
        <f t="shared" si="14"/>
        <v>0.61126002244633759</v>
      </c>
    </row>
    <row r="43" spans="1:24" x14ac:dyDescent="0.3">
      <c r="A43">
        <v>11.16694689230208</v>
      </c>
      <c r="B43">
        <v>3.8583577742510693</v>
      </c>
      <c r="C43">
        <v>5.713391514617248</v>
      </c>
      <c r="D43">
        <v>9.5082602829274041</v>
      </c>
      <c r="E43">
        <v>4.8605097472735777</v>
      </c>
      <c r="F43">
        <v>7.4330163945611369</v>
      </c>
      <c r="G43">
        <f t="shared" si="16"/>
        <v>14.010857297639983</v>
      </c>
      <c r="H43">
        <f t="shared" si="16"/>
        <v>14.752361412031716</v>
      </c>
      <c r="I43">
        <f t="shared" si="16"/>
        <v>16.406029733645838</v>
      </c>
      <c r="J43">
        <f t="shared" si="17"/>
        <v>6.2208019042484786</v>
      </c>
      <c r="K43">
        <f t="shared" si="17"/>
        <v>6.9687240579263854</v>
      </c>
      <c r="L43">
        <f t="shared" si="17"/>
        <v>8.1000329277288632</v>
      </c>
      <c r="M43">
        <f t="shared" si="18"/>
        <v>4.1921918920568473</v>
      </c>
      <c r="N43">
        <f t="shared" si="18"/>
        <v>4.6296050148216619</v>
      </c>
      <c r="O43">
        <f t="shared" si="18"/>
        <v>5.11639993824872</v>
      </c>
      <c r="P43">
        <f t="shared" si="7"/>
        <v>0.37660742758509796</v>
      </c>
      <c r="Q43">
        <f t="shared" si="15"/>
        <v>0.36100267177146844</v>
      </c>
      <c r="R43">
        <f t="shared" si="8"/>
        <v>0.32979013157424203</v>
      </c>
      <c r="S43">
        <f t="shared" si="9"/>
        <v>0.42048514270179765</v>
      </c>
      <c r="T43">
        <f t="shared" si="10"/>
        <v>0.38500081876228648</v>
      </c>
      <c r="U43">
        <f t="shared" si="11"/>
        <v>0.33985459643775762</v>
      </c>
      <c r="V43">
        <f t="shared" si="12"/>
        <v>0.6779835597407009</v>
      </c>
      <c r="W43">
        <f t="shared" si="13"/>
        <v>0.64919400606517774</v>
      </c>
      <c r="X43">
        <f t="shared" si="14"/>
        <v>0.61905164932102141</v>
      </c>
    </row>
    <row r="44" spans="1:24" x14ac:dyDescent="0.3">
      <c r="A44">
        <v>13.749865017641378</v>
      </c>
      <c r="B44">
        <v>4.0989280886259944</v>
      </c>
      <c r="C44">
        <v>4.2274689001255714</v>
      </c>
      <c r="D44">
        <v>9.7459667900005886</v>
      </c>
      <c r="E44">
        <v>4.9820224909554174</v>
      </c>
      <c r="F44">
        <v>7.6188418044251653</v>
      </c>
      <c r="G44">
        <f t="shared" si="16"/>
        <v>14.010857297639983</v>
      </c>
      <c r="H44">
        <f t="shared" si="16"/>
        <v>14.752361412031716</v>
      </c>
      <c r="I44">
        <f t="shared" si="16"/>
        <v>16.406029733645838</v>
      </c>
      <c r="J44">
        <f t="shared" si="17"/>
        <v>6.2208019042484786</v>
      </c>
      <c r="K44">
        <f t="shared" si="17"/>
        <v>6.9687240579263854</v>
      </c>
      <c r="L44">
        <f t="shared" si="17"/>
        <v>8.1000329277288632</v>
      </c>
      <c r="M44">
        <f t="shared" si="18"/>
        <v>4.1921918920568473</v>
      </c>
      <c r="N44">
        <f t="shared" si="18"/>
        <v>4.6296050148216619</v>
      </c>
      <c r="O44">
        <f t="shared" si="18"/>
        <v>5.11639993824872</v>
      </c>
      <c r="P44">
        <f t="shared" si="7"/>
        <v>0.3841730923816476</v>
      </c>
      <c r="Q44">
        <f t="shared" si="15"/>
        <v>0.36844012927036557</v>
      </c>
      <c r="R44">
        <f t="shared" si="8"/>
        <v>0.33692360060555154</v>
      </c>
      <c r="S44">
        <f t="shared" si="9"/>
        <v>0.42832662514980963</v>
      </c>
      <c r="T44">
        <f t="shared" si="10"/>
        <v>0.39262890035838038</v>
      </c>
      <c r="U44">
        <f t="shared" si="11"/>
        <v>0.34709302033971717</v>
      </c>
      <c r="V44">
        <f t="shared" si="12"/>
        <v>0.68495136993914174</v>
      </c>
      <c r="W44">
        <f t="shared" si="13"/>
        <v>0.65646912062026708</v>
      </c>
      <c r="X44">
        <f t="shared" si="14"/>
        <v>0.62659231506904089</v>
      </c>
    </row>
    <row r="45" spans="1:24" x14ac:dyDescent="0.3">
      <c r="A45">
        <v>9.8213531959531153</v>
      </c>
      <c r="B45">
        <v>3.6911602166724573</v>
      </c>
      <c r="C45">
        <v>4.0689696039978376</v>
      </c>
      <c r="D45">
        <v>9.9836732970737732</v>
      </c>
      <c r="E45">
        <v>5.1035352346372571</v>
      </c>
      <c r="F45">
        <v>7.8046672142891937</v>
      </c>
      <c r="G45">
        <f t="shared" si="16"/>
        <v>14.010857297639983</v>
      </c>
      <c r="H45">
        <f t="shared" si="16"/>
        <v>14.752361412031716</v>
      </c>
      <c r="I45">
        <f t="shared" si="16"/>
        <v>16.406029733645838</v>
      </c>
      <c r="J45">
        <f t="shared" si="17"/>
        <v>6.2208019042484786</v>
      </c>
      <c r="K45">
        <f t="shared" si="17"/>
        <v>6.9687240579263854</v>
      </c>
      <c r="L45">
        <f t="shared" si="17"/>
        <v>8.1000329277288632</v>
      </c>
      <c r="M45">
        <f t="shared" si="18"/>
        <v>4.1921918920568473</v>
      </c>
      <c r="N45">
        <f t="shared" si="18"/>
        <v>4.6296050148216619</v>
      </c>
      <c r="O45">
        <f t="shared" si="18"/>
        <v>5.11639993824872</v>
      </c>
      <c r="P45">
        <f t="shared" si="7"/>
        <v>0.39161089979825298</v>
      </c>
      <c r="Q45">
        <f t="shared" si="15"/>
        <v>0.37575919489355464</v>
      </c>
      <c r="R45">
        <f t="shared" si="8"/>
        <v>0.34395756116293474</v>
      </c>
      <c r="S45">
        <f t="shared" si="9"/>
        <v>0.43601403313267689</v>
      </c>
      <c r="T45">
        <f t="shared" si="10"/>
        <v>0.4001240494449399</v>
      </c>
      <c r="U45">
        <f t="shared" si="11"/>
        <v>0.35422587023008628</v>
      </c>
      <c r="V45">
        <f t="shared" si="12"/>
        <v>0.69167198902484894</v>
      </c>
      <c r="W45">
        <f t="shared" si="13"/>
        <v>0.66349883112615959</v>
      </c>
      <c r="X45">
        <f t="shared" si="14"/>
        <v>0.63389244048896887</v>
      </c>
    </row>
    <row r="46" spans="1:24" x14ac:dyDescent="0.3">
      <c r="A46">
        <v>10.993414002560849</v>
      </c>
      <c r="B46">
        <v>5.5345596663947783</v>
      </c>
      <c r="C46">
        <v>2.3902874588006151</v>
      </c>
      <c r="D46">
        <v>10.221379804146958</v>
      </c>
      <c r="E46">
        <v>5.2250479783190968</v>
      </c>
      <c r="F46">
        <v>7.9904926241532221</v>
      </c>
      <c r="G46">
        <f t="shared" si="16"/>
        <v>14.010857297639983</v>
      </c>
      <c r="H46">
        <f t="shared" si="16"/>
        <v>14.752361412031716</v>
      </c>
      <c r="I46">
        <f t="shared" si="16"/>
        <v>16.406029733645838</v>
      </c>
      <c r="J46">
        <f t="shared" si="17"/>
        <v>6.2208019042484786</v>
      </c>
      <c r="K46">
        <f t="shared" si="17"/>
        <v>6.9687240579263854</v>
      </c>
      <c r="L46">
        <f t="shared" si="17"/>
        <v>8.1000329277288632</v>
      </c>
      <c r="M46">
        <f t="shared" si="18"/>
        <v>4.1921918920568473</v>
      </c>
      <c r="N46">
        <f t="shared" si="18"/>
        <v>4.6296050148216619</v>
      </c>
      <c r="O46">
        <f t="shared" si="18"/>
        <v>5.11639993824872</v>
      </c>
      <c r="P46">
        <f t="shared" si="7"/>
        <v>0.39892261071629065</v>
      </c>
      <c r="Q46">
        <f t="shared" si="15"/>
        <v>0.38296124123105357</v>
      </c>
      <c r="R46">
        <f t="shared" si="8"/>
        <v>0.35089270070043366</v>
      </c>
      <c r="S46">
        <f t="shared" si="9"/>
        <v>0.4435503678146076</v>
      </c>
      <c r="T46">
        <f t="shared" si="10"/>
        <v>0.40748824773923614</v>
      </c>
      <c r="U46">
        <f t="shared" si="11"/>
        <v>0.36125404077576811</v>
      </c>
      <c r="V46">
        <f t="shared" si="12"/>
        <v>0.69815706477821327</v>
      </c>
      <c r="W46">
        <f t="shared" si="13"/>
        <v>0.67029400932412853</v>
      </c>
      <c r="X46">
        <f t="shared" si="14"/>
        <v>0.64096195983223581</v>
      </c>
    </row>
    <row r="47" spans="1:24" x14ac:dyDescent="0.3">
      <c r="A47">
        <v>20.106787100514808</v>
      </c>
      <c r="B47">
        <v>4.8367879098609992</v>
      </c>
      <c r="C47">
        <v>1.6334721254609328</v>
      </c>
      <c r="D47">
        <v>10.459086311220142</v>
      </c>
      <c r="E47">
        <v>5.3465607220009366</v>
      </c>
      <c r="F47">
        <v>8.1763180340172514</v>
      </c>
      <c r="G47">
        <f t="shared" si="16"/>
        <v>14.010857297639983</v>
      </c>
      <c r="H47">
        <f t="shared" si="16"/>
        <v>14.752361412031716</v>
      </c>
      <c r="I47">
        <f t="shared" si="16"/>
        <v>16.406029733645838</v>
      </c>
      <c r="J47">
        <f t="shared" si="17"/>
        <v>6.2208019042484786</v>
      </c>
      <c r="K47">
        <f t="shared" si="17"/>
        <v>6.9687240579263854</v>
      </c>
      <c r="L47">
        <f t="shared" si="17"/>
        <v>8.1000329277288632</v>
      </c>
      <c r="M47">
        <f t="shared" si="18"/>
        <v>4.1921918920568473</v>
      </c>
      <c r="N47">
        <f t="shared" si="18"/>
        <v>4.6296050148216619</v>
      </c>
      <c r="O47">
        <f t="shared" si="18"/>
        <v>5.11639993824872</v>
      </c>
      <c r="P47">
        <f t="shared" si="7"/>
        <v>0.40611004294426722</v>
      </c>
      <c r="Q47">
        <f t="shared" si="15"/>
        <v>0.39004770902604485</v>
      </c>
      <c r="R47">
        <f t="shared" si="8"/>
        <v>0.35772978983684334</v>
      </c>
      <c r="S47">
        <f t="shared" si="9"/>
        <v>0.4509386411325737</v>
      </c>
      <c r="T47">
        <f t="shared" si="10"/>
        <v>0.41472352675473834</v>
      </c>
      <c r="U47">
        <f t="shared" si="11"/>
        <v>0.36817850600023344</v>
      </c>
      <c r="V47">
        <f t="shared" si="12"/>
        <v>0.70441759116014102</v>
      </c>
      <c r="W47">
        <f t="shared" si="13"/>
        <v>0.67686496465643442</v>
      </c>
      <c r="X47">
        <f t="shared" si="14"/>
        <v>0.64781034192948417</v>
      </c>
    </row>
    <row r="48" spans="1:24" x14ac:dyDescent="0.3">
      <c r="A48">
        <v>18.735166326275284</v>
      </c>
      <c r="B48">
        <v>5.7486499522134302</v>
      </c>
      <c r="C48">
        <v>6.3020497378346594</v>
      </c>
      <c r="D48">
        <v>10.696792818293327</v>
      </c>
      <c r="E48">
        <v>5.4680734656827763</v>
      </c>
      <c r="F48">
        <v>8.3621434438812798</v>
      </c>
      <c r="G48">
        <f t="shared" si="16"/>
        <v>14.010857297639983</v>
      </c>
      <c r="H48">
        <f t="shared" si="16"/>
        <v>14.752361412031716</v>
      </c>
      <c r="I48">
        <f t="shared" si="16"/>
        <v>16.406029733645838</v>
      </c>
      <c r="J48">
        <f t="shared" si="17"/>
        <v>6.2208019042484786</v>
      </c>
      <c r="K48">
        <f t="shared" si="17"/>
        <v>6.9687240579263854</v>
      </c>
      <c r="L48">
        <f t="shared" si="17"/>
        <v>8.1000329277288632</v>
      </c>
      <c r="M48">
        <f t="shared" si="18"/>
        <v>4.1921918920568473</v>
      </c>
      <c r="N48">
        <f t="shared" si="18"/>
        <v>4.6296050148216619</v>
      </c>
      <c r="O48">
        <f t="shared" si="18"/>
        <v>5.11639993824872</v>
      </c>
      <c r="P48">
        <f t="shared" si="7"/>
        <v>0.41317506056407954</v>
      </c>
      <c r="Q48">
        <f t="shared" si="15"/>
        <v>0.39702009669750016</v>
      </c>
      <c r="R48">
        <f t="shared" si="8"/>
        <v>0.36446967263207486</v>
      </c>
      <c r="S48">
        <f t="shared" si="9"/>
        <v>0.45818186562129454</v>
      </c>
      <c r="T48">
        <f t="shared" si="10"/>
        <v>0.42183195711987209</v>
      </c>
      <c r="U48">
        <f t="shared" si="11"/>
        <v>0.37500030926680544</v>
      </c>
      <c r="V48">
        <f t="shared" si="12"/>
        <v>0.71046394832405591</v>
      </c>
      <c r="W48">
        <f t="shared" si="13"/>
        <v>0.6832214745187476</v>
      </c>
      <c r="X48">
        <f t="shared" si="14"/>
        <v>0.65444661106588486</v>
      </c>
    </row>
    <row r="49" spans="1:24" x14ac:dyDescent="0.3">
      <c r="A49">
        <v>14.755107900604779</v>
      </c>
      <c r="B49">
        <v>7.1310569137954349</v>
      </c>
      <c r="C49">
        <v>5.1120697941242472</v>
      </c>
      <c r="D49">
        <v>10.934499325366511</v>
      </c>
      <c r="E49">
        <v>5.589586209364616</v>
      </c>
      <c r="F49">
        <v>8.5479688537453082</v>
      </c>
      <c r="G49">
        <f t="shared" si="16"/>
        <v>14.010857297639983</v>
      </c>
      <c r="H49">
        <f t="shared" si="16"/>
        <v>14.752361412031716</v>
      </c>
      <c r="I49">
        <f t="shared" si="16"/>
        <v>16.406029733645838</v>
      </c>
      <c r="J49">
        <f t="shared" si="17"/>
        <v>6.2208019042484786</v>
      </c>
      <c r="K49">
        <f t="shared" si="17"/>
        <v>6.9687240579263854</v>
      </c>
      <c r="L49">
        <f t="shared" si="17"/>
        <v>8.1000329277288632</v>
      </c>
      <c r="M49">
        <f t="shared" si="18"/>
        <v>4.1921918920568473</v>
      </c>
      <c r="N49">
        <f t="shared" si="18"/>
        <v>4.6296050148216619</v>
      </c>
      <c r="O49">
        <f t="shared" si="18"/>
        <v>5.11639993824872</v>
      </c>
      <c r="P49">
        <f t="shared" si="7"/>
        <v>0.42011956442430282</v>
      </c>
      <c r="Q49">
        <f t="shared" si="15"/>
        <v>0.40387995092663237</v>
      </c>
      <c r="R49">
        <f t="shared" si="8"/>
        <v>0.3711132577534671</v>
      </c>
      <c r="S49">
        <f t="shared" si="9"/>
        <v>0.46528304557887068</v>
      </c>
      <c r="T49">
        <f t="shared" si="10"/>
        <v>0.42881563908634523</v>
      </c>
      <c r="U49">
        <f t="shared" si="11"/>
        <v>0.38172055420829004</v>
      </c>
      <c r="V49">
        <f t="shared" si="12"/>
        <v>0.71630594028484318</v>
      </c>
      <c r="W49">
        <f t="shared" si="13"/>
        <v>0.6893728132065573</v>
      </c>
      <c r="X49">
        <f t="shared" si="14"/>
        <v>0.660879367450942</v>
      </c>
    </row>
    <row r="50" spans="1:24" x14ac:dyDescent="0.3">
      <c r="A50">
        <v>14.558561651598048</v>
      </c>
      <c r="B50">
        <v>14.121850276857018</v>
      </c>
      <c r="C50">
        <v>7.7159045642471318</v>
      </c>
      <c r="D50">
        <v>11.172205832439696</v>
      </c>
      <c r="E50">
        <v>5.7110989530464558</v>
      </c>
      <c r="F50">
        <v>8.7337942636093366</v>
      </c>
      <c r="G50">
        <f t="shared" si="16"/>
        <v>14.010857297639983</v>
      </c>
      <c r="H50">
        <f t="shared" si="16"/>
        <v>14.752361412031716</v>
      </c>
      <c r="I50">
        <f t="shared" si="16"/>
        <v>16.406029733645838</v>
      </c>
      <c r="J50">
        <f t="shared" si="17"/>
        <v>6.2208019042484786</v>
      </c>
      <c r="K50">
        <f t="shared" si="17"/>
        <v>6.9687240579263854</v>
      </c>
      <c r="L50">
        <f t="shared" si="17"/>
        <v>8.1000329277288632</v>
      </c>
      <c r="M50">
        <f t="shared" si="18"/>
        <v>4.1921918920568473</v>
      </c>
      <c r="N50">
        <f t="shared" si="18"/>
        <v>4.6296050148216619</v>
      </c>
      <c r="O50">
        <f t="shared" si="18"/>
        <v>5.11639993824872</v>
      </c>
      <c r="P50">
        <f t="shared" si="7"/>
        <v>0.42694548366377505</v>
      </c>
      <c r="Q50">
        <f t="shared" si="15"/>
        <v>0.41062885820260053</v>
      </c>
      <c r="R50">
        <f t="shared" si="8"/>
        <v>0.37766151044967661</v>
      </c>
      <c r="S50">
        <f t="shared" si="9"/>
        <v>0.47224516942025085</v>
      </c>
      <c r="T50">
        <f t="shared" si="10"/>
        <v>0.43567669410354792</v>
      </c>
      <c r="U50">
        <f t="shared" si="11"/>
        <v>0.38834039651376884</v>
      </c>
      <c r="V50">
        <f t="shared" si="12"/>
        <v>0.72195283032358615</v>
      </c>
      <c r="W50">
        <f t="shared" si="13"/>
        <v>0.69532777952404634</v>
      </c>
      <c r="X50">
        <f t="shared" si="14"/>
        <v>0.66711680716715405</v>
      </c>
    </row>
    <row r="51" spans="1:24" x14ac:dyDescent="0.3">
      <c r="A51">
        <v>11.422547510814919</v>
      </c>
      <c r="B51">
        <v>9.3673440442591591</v>
      </c>
      <c r="C51">
        <v>4.4849154200022197</v>
      </c>
      <c r="D51">
        <v>11.40991233951288</v>
      </c>
      <c r="E51">
        <v>5.8326116967282955</v>
      </c>
      <c r="F51">
        <v>8.919619673473365</v>
      </c>
      <c r="G51">
        <f t="shared" si="16"/>
        <v>14.010857297639983</v>
      </c>
      <c r="H51">
        <f t="shared" si="16"/>
        <v>14.752361412031716</v>
      </c>
      <c r="I51">
        <f t="shared" si="16"/>
        <v>16.406029733645838</v>
      </c>
      <c r="J51">
        <f t="shared" si="17"/>
        <v>6.2208019042484786</v>
      </c>
      <c r="K51">
        <f t="shared" si="17"/>
        <v>6.9687240579263854</v>
      </c>
      <c r="L51">
        <f t="shared" si="17"/>
        <v>8.1000329277288632</v>
      </c>
      <c r="M51">
        <f t="shared" si="18"/>
        <v>4.1921918920568473</v>
      </c>
      <c r="N51">
        <f t="shared" si="18"/>
        <v>4.6296050148216619</v>
      </c>
      <c r="O51">
        <f t="shared" si="18"/>
        <v>5.11639993824872</v>
      </c>
      <c r="P51">
        <f t="shared" si="7"/>
        <v>0.43365476816116022</v>
      </c>
      <c r="Q51">
        <f t="shared" si="15"/>
        <v>0.41726843723381052</v>
      </c>
      <c r="R51">
        <f t="shared" si="8"/>
        <v>0.38411544525815289</v>
      </c>
      <c r="S51">
        <f t="shared" si="9"/>
        <v>0.47907120308318024</v>
      </c>
      <c r="T51">
        <f t="shared" si="10"/>
        <v>0.44241725734882553</v>
      </c>
      <c r="U51">
        <f t="shared" si="11"/>
        <v>0.39486103649250465</v>
      </c>
      <c r="V51">
        <f t="shared" si="12"/>
        <v>0.72741337421990415</v>
      </c>
      <c r="W51">
        <f t="shared" si="13"/>
        <v>0.70109472304823273</v>
      </c>
      <c r="X51">
        <f t="shared" si="14"/>
        <v>0.67316674151318145</v>
      </c>
    </row>
    <row r="52" spans="1:24" x14ac:dyDescent="0.3">
      <c r="A52">
        <v>23.805230773162648</v>
      </c>
      <c r="B52">
        <v>10.2732648222763</v>
      </c>
      <c r="C52">
        <v>4.3415535238948681</v>
      </c>
      <c r="D52">
        <v>11.647618846586065</v>
      </c>
      <c r="E52">
        <v>5.9541244404101352</v>
      </c>
      <c r="F52">
        <v>9.1054450833373934</v>
      </c>
      <c r="G52">
        <f t="shared" si="16"/>
        <v>14.010857297639983</v>
      </c>
      <c r="H52">
        <f t="shared" si="16"/>
        <v>14.752361412031716</v>
      </c>
      <c r="I52">
        <f t="shared" si="16"/>
        <v>16.406029733645838</v>
      </c>
      <c r="J52">
        <f t="shared" si="17"/>
        <v>6.2208019042484786</v>
      </c>
      <c r="K52">
        <f t="shared" si="17"/>
        <v>6.9687240579263854</v>
      </c>
      <c r="L52">
        <f t="shared" si="17"/>
        <v>8.1000329277288632</v>
      </c>
      <c r="M52">
        <f t="shared" si="18"/>
        <v>4.1921918920568473</v>
      </c>
      <c r="N52">
        <f t="shared" si="18"/>
        <v>4.6296050148216619</v>
      </c>
      <c r="O52">
        <f t="shared" si="18"/>
        <v>5.11639993824872</v>
      </c>
      <c r="P52">
        <f t="shared" si="7"/>
        <v>0.44024938181714013</v>
      </c>
      <c r="Q52">
        <f t="shared" si="15"/>
        <v>0.42380033214079194</v>
      </c>
      <c r="R52">
        <f t="shared" si="8"/>
        <v>0.39047611937959803</v>
      </c>
      <c r="S52">
        <f t="shared" si="9"/>
        <v>0.48576408436663371</v>
      </c>
      <c r="T52">
        <f t="shared" si="10"/>
        <v>0.44903947111515818</v>
      </c>
      <c r="U52">
        <f t="shared" si="11"/>
        <v>0.40128371234296906</v>
      </c>
      <c r="V52">
        <f t="shared" si="12"/>
        <v>0.73269585141184845</v>
      </c>
      <c r="W52">
        <f t="shared" si="13"/>
        <v>0.70668156905968149</v>
      </c>
      <c r="X52">
        <f t="shared" si="14"/>
        <v>0.67903661568231333</v>
      </c>
    </row>
    <row r="53" spans="1:24" x14ac:dyDescent="0.3">
      <c r="A53">
        <v>16.505068547062297</v>
      </c>
      <c r="B53">
        <v>8.095907632557239</v>
      </c>
      <c r="C53">
        <v>4.9795544055433307</v>
      </c>
      <c r="D53">
        <v>11.885325353659249</v>
      </c>
      <c r="E53">
        <v>6.075637184091975</v>
      </c>
      <c r="F53">
        <v>9.2912704932014218</v>
      </c>
      <c r="G53">
        <f t="shared" si="16"/>
        <v>14.010857297639983</v>
      </c>
      <c r="H53">
        <f t="shared" si="16"/>
        <v>14.752361412031716</v>
      </c>
      <c r="I53">
        <f t="shared" si="16"/>
        <v>16.406029733645838</v>
      </c>
      <c r="J53">
        <f t="shared" si="17"/>
        <v>6.2208019042484786</v>
      </c>
      <c r="K53">
        <f t="shared" si="17"/>
        <v>6.9687240579263854</v>
      </c>
      <c r="L53">
        <f t="shared" si="17"/>
        <v>8.1000329277288632</v>
      </c>
      <c r="M53">
        <f t="shared" si="18"/>
        <v>4.1921918920568473</v>
      </c>
      <c r="N53">
        <f t="shared" si="18"/>
        <v>4.6296050148216619</v>
      </c>
      <c r="O53">
        <f t="shared" si="18"/>
        <v>5.11639993824872</v>
      </c>
      <c r="P53">
        <f t="shared" si="7"/>
        <v>0.44673129658559024</v>
      </c>
      <c r="Q53">
        <f t="shared" si="15"/>
        <v>0.43022620635517689</v>
      </c>
      <c r="R53">
        <f t="shared" si="8"/>
        <v>0.39674462665935739</v>
      </c>
      <c r="S53">
        <f t="shared" si="9"/>
        <v>0.49232671809525663</v>
      </c>
      <c r="T53">
        <f t="shared" si="10"/>
        <v>0.455545478968155</v>
      </c>
      <c r="U53">
        <f t="shared" si="11"/>
        <v>0.40760969406213959</v>
      </c>
      <c r="V53">
        <f t="shared" si="12"/>
        <v>0.73780809418777382</v>
      </c>
      <c r="W53">
        <f t="shared" si="13"/>
        <v>0.71209584216492283</v>
      </c>
      <c r="X53">
        <f t="shared" si="14"/>
        <v>0.68473352673712073</v>
      </c>
    </row>
    <row r="54" spans="1:24" x14ac:dyDescent="0.3">
      <c r="A54">
        <v>13.727277299549048</v>
      </c>
      <c r="B54">
        <v>7.1346731596323396</v>
      </c>
      <c r="C54">
        <v>4.9092280656446086</v>
      </c>
      <c r="D54">
        <v>12.123031860732434</v>
      </c>
      <c r="E54">
        <v>6.1971499277738147</v>
      </c>
      <c r="F54">
        <v>9.4770959030654502</v>
      </c>
      <c r="G54">
        <f t="shared" si="16"/>
        <v>14.010857297639983</v>
      </c>
      <c r="H54">
        <f t="shared" si="16"/>
        <v>14.752361412031716</v>
      </c>
      <c r="I54">
        <f t="shared" si="16"/>
        <v>16.406029733645838</v>
      </c>
      <c r="J54">
        <f t="shared" si="17"/>
        <v>6.2208019042484786</v>
      </c>
      <c r="K54">
        <f t="shared" si="17"/>
        <v>6.9687240579263854</v>
      </c>
      <c r="L54">
        <f t="shared" si="17"/>
        <v>8.1000329277288632</v>
      </c>
      <c r="M54">
        <f t="shared" si="18"/>
        <v>4.1921918920568473</v>
      </c>
      <c r="N54">
        <f t="shared" si="18"/>
        <v>4.6296050148216619</v>
      </c>
      <c r="O54">
        <f t="shared" si="18"/>
        <v>5.11639993824872</v>
      </c>
      <c r="P54">
        <f t="shared" si="7"/>
        <v>0.45310248717871487</v>
      </c>
      <c r="Q54">
        <f t="shared" si="15"/>
        <v>0.43654773715689266</v>
      </c>
      <c r="R54">
        <f t="shared" si="8"/>
        <v>0.40292209212150676</v>
      </c>
      <c r="S54">
        <f t="shared" si="9"/>
        <v>0.49876197201527672</v>
      </c>
      <c r="T54">
        <f t="shared" si="10"/>
        <v>0.46193742059348186</v>
      </c>
      <c r="U54">
        <f t="shared" si="11"/>
        <v>0.41384027793656503</v>
      </c>
      <c r="V54">
        <f t="shared" si="12"/>
        <v>0.74275751501631315</v>
      </c>
      <c r="W54">
        <f t="shared" si="13"/>
        <v>0.71734468864588263</v>
      </c>
      <c r="X54">
        <f t="shared" si="14"/>
        <v>0.69026424085720006</v>
      </c>
    </row>
    <row r="55" spans="1:24" x14ac:dyDescent="0.3">
      <c r="A55">
        <v>14.493969425766808</v>
      </c>
      <c r="B55">
        <v>5.8983267650580302</v>
      </c>
      <c r="C55">
        <v>4.5899340760310237</v>
      </c>
      <c r="D55">
        <v>12.360738367805618</v>
      </c>
      <c r="E55">
        <v>6.3186626714556544</v>
      </c>
      <c r="F55">
        <v>9.6629213129294786</v>
      </c>
      <c r="G55">
        <f t="shared" si="16"/>
        <v>14.010857297639983</v>
      </c>
      <c r="H55">
        <f t="shared" si="16"/>
        <v>14.752361412031716</v>
      </c>
      <c r="I55">
        <f t="shared" si="16"/>
        <v>16.406029733645838</v>
      </c>
      <c r="J55">
        <f t="shared" si="17"/>
        <v>6.2208019042484786</v>
      </c>
      <c r="K55">
        <f t="shared" si="17"/>
        <v>6.9687240579263854</v>
      </c>
      <c r="L55">
        <f t="shared" si="17"/>
        <v>8.1000329277288632</v>
      </c>
      <c r="M55">
        <f t="shared" si="18"/>
        <v>4.1921918920568473</v>
      </c>
      <c r="N55">
        <f t="shared" si="18"/>
        <v>4.6296050148216619</v>
      </c>
      <c r="O55">
        <f t="shared" si="18"/>
        <v>5.11639993824872</v>
      </c>
      <c r="P55">
        <f t="shared" si="7"/>
        <v>0.4593649263787683</v>
      </c>
      <c r="Q55">
        <f t="shared" si="15"/>
        <v>0.44276661078843171</v>
      </c>
      <c r="R55">
        <f t="shared" si="8"/>
        <v>0.40900966700657487</v>
      </c>
      <c r="S55">
        <f t="shared" si="9"/>
        <v>0.50507267333787997</v>
      </c>
      <c r="T55">
        <f t="shared" si="10"/>
        <v>0.46821742726401044</v>
      </c>
      <c r="U55">
        <f t="shared" si="11"/>
        <v>0.41997678156234131</v>
      </c>
      <c r="V55">
        <f t="shared" si="12"/>
        <v>0.74755113212020963</v>
      </c>
      <c r="W55">
        <f t="shared" si="13"/>
        <v>0.72243489757886858</v>
      </c>
      <c r="X55">
        <f t="shared" si="14"/>
        <v>0.69563520984956773</v>
      </c>
    </row>
    <row r="56" spans="1:24" x14ac:dyDescent="0.3">
      <c r="A56">
        <v>14.107914195208535</v>
      </c>
      <c r="B56">
        <v>5.7200641639450449</v>
      </c>
      <c r="C56">
        <v>4.2047059359103311</v>
      </c>
      <c r="D56">
        <v>12.598444874878803</v>
      </c>
      <c r="E56">
        <v>6.4401754151374941</v>
      </c>
      <c r="F56">
        <v>9.848746722793507</v>
      </c>
      <c r="G56">
        <f t="shared" si="16"/>
        <v>14.010857297639983</v>
      </c>
      <c r="H56">
        <f t="shared" si="16"/>
        <v>14.752361412031716</v>
      </c>
      <c r="I56">
        <f t="shared" si="16"/>
        <v>16.406029733645838</v>
      </c>
      <c r="J56">
        <f t="shared" si="17"/>
        <v>6.2208019042484786</v>
      </c>
      <c r="K56">
        <f t="shared" si="17"/>
        <v>6.9687240579263854</v>
      </c>
      <c r="L56">
        <f t="shared" si="17"/>
        <v>8.1000329277288632</v>
      </c>
      <c r="M56">
        <f t="shared" si="18"/>
        <v>4.1921918920568473</v>
      </c>
      <c r="N56">
        <f t="shared" si="18"/>
        <v>4.6296050148216619</v>
      </c>
      <c r="O56">
        <f t="shared" si="18"/>
        <v>5.11639993824872</v>
      </c>
      <c r="P56">
        <f t="shared" si="7"/>
        <v>0.46552058089580944</v>
      </c>
      <c r="Q56">
        <f t="shared" si="15"/>
        <v>0.44888451809108282</v>
      </c>
      <c r="R56">
        <f t="shared" si="8"/>
        <v>0.41500852426846596</v>
      </c>
      <c r="S56">
        <f t="shared" si="9"/>
        <v>0.51126160585537639</v>
      </c>
      <c r="T56">
        <f t="shared" si="10"/>
        <v>0.47438761786325123</v>
      </c>
      <c r="U56">
        <f t="shared" si="11"/>
        <v>0.42602053934618961</v>
      </c>
      <c r="V56">
        <f t="shared" si="12"/>
        <v>0.75219559339789022</v>
      </c>
      <c r="W56">
        <f t="shared" si="13"/>
        <v>0.727372920770609</v>
      </c>
      <c r="X56">
        <f t="shared" si="14"/>
        <v>0.70085258692121621</v>
      </c>
    </row>
    <row r="57" spans="1:24" x14ac:dyDescent="0.3">
      <c r="A57">
        <v>14.324364644401939</v>
      </c>
      <c r="B57">
        <v>4.9449899201574823</v>
      </c>
      <c r="C57">
        <v>10.62220002943565</v>
      </c>
      <c r="D57">
        <v>12.836151381951987</v>
      </c>
      <c r="E57">
        <v>6.5616881588193339</v>
      </c>
      <c r="F57">
        <v>10.034572132657535</v>
      </c>
      <c r="G57">
        <f t="shared" si="16"/>
        <v>14.010857297639983</v>
      </c>
      <c r="H57">
        <f t="shared" si="16"/>
        <v>14.752361412031716</v>
      </c>
      <c r="I57">
        <f t="shared" si="16"/>
        <v>16.406029733645838</v>
      </c>
      <c r="J57">
        <f t="shared" si="17"/>
        <v>6.2208019042484786</v>
      </c>
      <c r="K57">
        <f t="shared" si="17"/>
        <v>6.9687240579263854</v>
      </c>
      <c r="L57">
        <f t="shared" si="17"/>
        <v>8.1000329277288632</v>
      </c>
      <c r="M57">
        <f t="shared" si="18"/>
        <v>4.1921918920568473</v>
      </c>
      <c r="N57">
        <f t="shared" si="18"/>
        <v>4.6296050148216619</v>
      </c>
      <c r="O57">
        <f t="shared" si="18"/>
        <v>5.11639993824872</v>
      </c>
      <c r="P57">
        <f t="shared" si="7"/>
        <v>0.47157140771702827</v>
      </c>
      <c r="Q57">
        <f t="shared" si="15"/>
        <v>0.45490315061339281</v>
      </c>
      <c r="R57">
        <f t="shared" si="8"/>
        <v>0.42091985449028624</v>
      </c>
      <c r="S57">
        <f t="shared" si="9"/>
        <v>0.51733150756373025</v>
      </c>
      <c r="T57">
        <f t="shared" si="10"/>
        <v>0.48045009540811429</v>
      </c>
      <c r="U57">
        <f t="shared" si="11"/>
        <v>0.43197289844433623</v>
      </c>
      <c r="V57">
        <f t="shared" si="12"/>
        <v>0.75669719879369468</v>
      </c>
      <c r="W57">
        <f t="shared" si="13"/>
        <v>0.73216489156198195</v>
      </c>
      <c r="X57">
        <f t="shared" si="14"/>
        <v>0.70592224172106144</v>
      </c>
    </row>
    <row r="58" spans="1:24" x14ac:dyDescent="0.3">
      <c r="A58">
        <v>11.329553770102734</v>
      </c>
      <c r="B58">
        <v>7.4169458351933208</v>
      </c>
      <c r="C58">
        <v>6.0652039024273021</v>
      </c>
      <c r="D58">
        <v>13.073857889025172</v>
      </c>
      <c r="E58">
        <v>6.6832009025011736</v>
      </c>
      <c r="F58">
        <v>10.220397542521564</v>
      </c>
      <c r="G58">
        <f t="shared" si="16"/>
        <v>14.010857297639983</v>
      </c>
      <c r="H58">
        <f t="shared" si="16"/>
        <v>14.752361412031716</v>
      </c>
      <c r="I58">
        <f t="shared" si="16"/>
        <v>16.406029733645838</v>
      </c>
      <c r="J58">
        <f t="shared" si="17"/>
        <v>6.2208019042484786</v>
      </c>
      <c r="K58">
        <f t="shared" si="17"/>
        <v>6.9687240579263854</v>
      </c>
      <c r="L58">
        <f t="shared" si="17"/>
        <v>8.1000329277288632</v>
      </c>
      <c r="M58">
        <f t="shared" si="18"/>
        <v>4.1921918920568473</v>
      </c>
      <c r="N58">
        <f t="shared" si="18"/>
        <v>4.6296050148216619</v>
      </c>
      <c r="O58">
        <f t="shared" si="18"/>
        <v>5.11639993824872</v>
      </c>
      <c r="P58">
        <f t="shared" si="7"/>
        <v>0.47751935089860492</v>
      </c>
      <c r="Q58">
        <f t="shared" si="15"/>
        <v>0.46082419714693768</v>
      </c>
      <c r="R58">
        <f t="shared" si="8"/>
        <v>0.42674486218248237</v>
      </c>
      <c r="S58">
        <f t="shared" si="9"/>
        <v>0.52328506873235658</v>
      </c>
      <c r="T58">
        <f t="shared" si="10"/>
        <v>0.48640694401982476</v>
      </c>
      <c r="U58">
        <f t="shared" si="11"/>
        <v>0.43783521509994339</v>
      </c>
      <c r="V58">
        <f t="shared" si="12"/>
        <v>0.76106192121395921</v>
      </c>
      <c r="W58">
        <f t="shared" si="13"/>
        <v>0.73681664255181967</v>
      </c>
      <c r="X58">
        <f t="shared" si="14"/>
        <v>0.71084977466444588</v>
      </c>
    </row>
    <row r="59" spans="1:24" x14ac:dyDescent="0.3">
      <c r="A59">
        <v>10.197310651153131</v>
      </c>
      <c r="B59">
        <v>5.0496317170487899</v>
      </c>
      <c r="C59">
        <v>4.1077080873832355</v>
      </c>
      <c r="D59">
        <v>13.311564396098357</v>
      </c>
      <c r="E59">
        <v>6.8047136461830133</v>
      </c>
      <c r="F59">
        <v>10.406222952385592</v>
      </c>
      <c r="G59">
        <f t="shared" si="16"/>
        <v>14.010857297639983</v>
      </c>
      <c r="H59">
        <f t="shared" si="16"/>
        <v>14.752361412031716</v>
      </c>
      <c r="I59">
        <f t="shared" si="16"/>
        <v>16.406029733645838</v>
      </c>
      <c r="J59">
        <f t="shared" si="17"/>
        <v>6.2208019042484786</v>
      </c>
      <c r="K59">
        <f t="shared" si="17"/>
        <v>6.9687240579263854</v>
      </c>
      <c r="L59">
        <f t="shared" si="17"/>
        <v>8.1000329277288632</v>
      </c>
      <c r="M59">
        <f t="shared" si="18"/>
        <v>4.1921918920568473</v>
      </c>
      <c r="N59">
        <f t="shared" si="18"/>
        <v>4.6296050148216619</v>
      </c>
      <c r="O59">
        <f t="shared" si="18"/>
        <v>5.11639993824872</v>
      </c>
      <c r="P59">
        <f t="shared" si="7"/>
        <v>0.48336633875593749</v>
      </c>
      <c r="Q59">
        <f t="shared" si="15"/>
        <v>0.46664934064880259</v>
      </c>
      <c r="R59">
        <f t="shared" si="8"/>
        <v>0.43248476243003764</v>
      </c>
      <c r="S59">
        <f t="shared" si="9"/>
        <v>0.52912493036857611</v>
      </c>
      <c r="T59">
        <f t="shared" si="10"/>
        <v>0.49226022629698596</v>
      </c>
      <c r="U59">
        <f t="shared" si="11"/>
        <v>0.44360885134346723</v>
      </c>
      <c r="V59">
        <f t="shared" si="12"/>
        <v>0.76529542608193546</v>
      </c>
      <c r="W59">
        <f t="shared" si="13"/>
        <v>0.74133372229382877</v>
      </c>
      <c r="X59">
        <f t="shared" si="14"/>
        <v>0.71564053055782584</v>
      </c>
    </row>
    <row r="60" spans="1:24" x14ac:dyDescent="0.3">
      <c r="A60">
        <v>13.99730433420061</v>
      </c>
      <c r="B60">
        <v>3.099354977971807</v>
      </c>
      <c r="C60">
        <v>4.5989940160342258</v>
      </c>
      <c r="D60">
        <v>13.549270903171541</v>
      </c>
      <c r="E60">
        <v>6.9262263898648531</v>
      </c>
      <c r="F60">
        <v>10.592048362249621</v>
      </c>
      <c r="G60">
        <f t="shared" si="16"/>
        <v>14.010857297639983</v>
      </c>
      <c r="H60">
        <f t="shared" si="16"/>
        <v>14.752361412031716</v>
      </c>
      <c r="I60">
        <f t="shared" si="16"/>
        <v>16.406029733645838</v>
      </c>
      <c r="J60">
        <f t="shared" si="17"/>
        <v>6.2208019042484786</v>
      </c>
      <c r="K60">
        <f t="shared" si="17"/>
        <v>6.9687240579263854</v>
      </c>
      <c r="L60">
        <f t="shared" si="17"/>
        <v>8.1000329277288632</v>
      </c>
      <c r="M60">
        <f t="shared" si="18"/>
        <v>4.1921918920568473</v>
      </c>
      <c r="N60">
        <f t="shared" si="18"/>
        <v>4.6296050148216619</v>
      </c>
      <c r="O60">
        <f t="shared" si="18"/>
        <v>5.11639993824872</v>
      </c>
      <c r="P60">
        <f t="shared" si="7"/>
        <v>0.48911428141242047</v>
      </c>
      <c r="Q60">
        <f t="shared" si="15"/>
        <v>0.472380255514042</v>
      </c>
      <c r="R60">
        <f t="shared" si="8"/>
        <v>0.438140777858467</v>
      </c>
      <c r="S60">
        <f t="shared" si="9"/>
        <v>0.53485368302989345</v>
      </c>
      <c r="T60">
        <f t="shared" si="10"/>
        <v>0.49801198104940808</v>
      </c>
      <c r="U60">
        <f t="shared" si="11"/>
        <v>0.44929517202359209</v>
      </c>
      <c r="V60">
        <f t="shared" si="12"/>
        <v>0.76940308962000525</v>
      </c>
      <c r="W60">
        <f t="shared" si="13"/>
        <v>0.74572141101949241</v>
      </c>
      <c r="X60">
        <f t="shared" si="14"/>
        <v>0.72029961154456057</v>
      </c>
    </row>
    <row r="61" spans="1:24" x14ac:dyDescent="0.3">
      <c r="A61">
        <v>16.012284048260216</v>
      </c>
      <c r="B61">
        <v>3.1461367047833235</v>
      </c>
      <c r="C61">
        <v>3.9271419737222919</v>
      </c>
      <c r="D61">
        <v>13.786977410244726</v>
      </c>
      <c r="E61">
        <v>7.0477391335466928</v>
      </c>
      <c r="F61">
        <v>10.777873772113649</v>
      </c>
      <c r="G61">
        <f t="shared" si="16"/>
        <v>14.010857297639983</v>
      </c>
      <c r="H61">
        <f t="shared" si="16"/>
        <v>14.752361412031716</v>
      </c>
      <c r="I61">
        <f t="shared" si="16"/>
        <v>16.406029733645838</v>
      </c>
      <c r="J61">
        <f t="shared" si="17"/>
        <v>6.2208019042484786</v>
      </c>
      <c r="K61">
        <f t="shared" si="17"/>
        <v>6.9687240579263854</v>
      </c>
      <c r="L61">
        <f t="shared" si="17"/>
        <v>8.1000329277288632</v>
      </c>
      <c r="M61">
        <f t="shared" si="18"/>
        <v>4.1921918920568473</v>
      </c>
      <c r="N61">
        <f t="shared" si="18"/>
        <v>4.6296050148216619</v>
      </c>
      <c r="O61">
        <f t="shared" si="18"/>
        <v>5.11639993824872</v>
      </c>
      <c r="P61">
        <f t="shared" si="7"/>
        <v>0.49476506867087056</v>
      </c>
      <c r="Q61">
        <f t="shared" si="15"/>
        <v>0.47801860516488137</v>
      </c>
      <c r="R61">
        <f t="shared" si="8"/>
        <v>0.44371413589106395</v>
      </c>
      <c r="S61">
        <f t="shared" si="9"/>
        <v>0.54047386594239311</v>
      </c>
      <c r="T61">
        <f t="shared" si="10"/>
        <v>0.50366422135545696</v>
      </c>
      <c r="U61">
        <f t="shared" si="11"/>
        <v>0.45489554213932837</v>
      </c>
      <c r="V61">
        <f t="shared" si="12"/>
        <v>0.77339001594298029</v>
      </c>
      <c r="W61">
        <f t="shared" si="13"/>
        <v>0.74998473543902122</v>
      </c>
      <c r="X61">
        <f t="shared" si="14"/>
        <v>0.72483188939506227</v>
      </c>
    </row>
    <row r="62" spans="1:24" x14ac:dyDescent="0.3">
      <c r="A62">
        <v>15.112880322656409</v>
      </c>
      <c r="B62">
        <v>3.0279030127568118</v>
      </c>
      <c r="C62">
        <v>6.2319898982331114</v>
      </c>
      <c r="D62">
        <v>14.02468391731791</v>
      </c>
      <c r="E62">
        <v>7.1692518772285325</v>
      </c>
      <c r="F62">
        <v>10.963699181977677</v>
      </c>
      <c r="G62">
        <f t="shared" si="16"/>
        <v>14.010857297639983</v>
      </c>
      <c r="H62">
        <f t="shared" si="16"/>
        <v>14.752361412031716</v>
      </c>
      <c r="I62">
        <f t="shared" si="16"/>
        <v>16.406029733645838</v>
      </c>
      <c r="J62">
        <f t="shared" si="17"/>
        <v>6.2208019042484786</v>
      </c>
      <c r="K62">
        <f t="shared" si="17"/>
        <v>6.9687240579263854</v>
      </c>
      <c r="L62">
        <f t="shared" si="17"/>
        <v>8.1000329277288632</v>
      </c>
      <c r="M62">
        <f t="shared" si="18"/>
        <v>4.1921918920568473</v>
      </c>
      <c r="N62">
        <f t="shared" si="18"/>
        <v>4.6296050148216619</v>
      </c>
      <c r="O62">
        <f t="shared" si="18"/>
        <v>5.11639993824872</v>
      </c>
      <c r="P62">
        <f t="shared" si="7"/>
        <v>0.50032056817519477</v>
      </c>
      <c r="Q62">
        <f t="shared" si="15"/>
        <v>0.48356603992654362</v>
      </c>
      <c r="R62">
        <f t="shared" si="8"/>
        <v>0.44920606627228238</v>
      </c>
      <c r="S62">
        <f t="shared" si="9"/>
        <v>0.54598796638810565</v>
      </c>
      <c r="T62">
        <f t="shared" si="10"/>
        <v>0.50921893290939324</v>
      </c>
      <c r="U62">
        <f t="shared" si="11"/>
        <v>0.46041132444652222</v>
      </c>
      <c r="V62">
        <f t="shared" si="12"/>
        <v>0.7772610530415589</v>
      </c>
      <c r="W62">
        <f t="shared" si="13"/>
        <v>0.75412848267115362</v>
      </c>
      <c r="X62">
        <f t="shared" si="14"/>
        <v>0.72924201716613246</v>
      </c>
    </row>
    <row r="63" spans="1:24" x14ac:dyDescent="0.3">
      <c r="A63">
        <v>19.161798755211745</v>
      </c>
      <c r="B63">
        <v>3.1096858472779561</v>
      </c>
      <c r="C63">
        <v>3.4153885992753392</v>
      </c>
      <c r="D63">
        <v>14.262390424391095</v>
      </c>
      <c r="E63">
        <v>7.2907646209103723</v>
      </c>
      <c r="F63">
        <v>11.149524591841706</v>
      </c>
      <c r="G63">
        <f t="shared" si="16"/>
        <v>14.010857297639983</v>
      </c>
      <c r="H63">
        <f t="shared" si="16"/>
        <v>14.752361412031716</v>
      </c>
      <c r="I63">
        <f t="shared" si="16"/>
        <v>16.406029733645838</v>
      </c>
      <c r="J63">
        <f t="shared" si="17"/>
        <v>6.2208019042484786</v>
      </c>
      <c r="K63">
        <f t="shared" si="17"/>
        <v>6.9687240579263854</v>
      </c>
      <c r="L63">
        <f t="shared" si="17"/>
        <v>8.1000329277288632</v>
      </c>
      <c r="M63">
        <f t="shared" si="18"/>
        <v>4.1921918920568473</v>
      </c>
      <c r="N63">
        <f t="shared" si="18"/>
        <v>4.6296050148216619</v>
      </c>
      <c r="O63">
        <f t="shared" si="18"/>
        <v>5.11639993824872</v>
      </c>
      <c r="P63">
        <f t="shared" si="7"/>
        <v>0.50578262383305572</v>
      </c>
      <c r="Q63">
        <f t="shared" si="15"/>
        <v>0.4890241951624224</v>
      </c>
      <c r="R63">
        <f t="shared" si="8"/>
        <v>0.45461779883435949</v>
      </c>
      <c r="S63">
        <f t="shared" si="9"/>
        <v>0.55139841932826616</v>
      </c>
      <c r="T63">
        <f t="shared" si="10"/>
        <v>0.51467807262849496</v>
      </c>
      <c r="U63">
        <f t="shared" si="11"/>
        <v>0.46584387731442034</v>
      </c>
      <c r="V63">
        <f t="shared" si="12"/>
        <v>0.78102080773034599</v>
      </c>
      <c r="W63">
        <f t="shared" si="13"/>
        <v>0.75815721335100472</v>
      </c>
      <c r="X63">
        <f t="shared" si="14"/>
        <v>0.73353444025528336</v>
      </c>
    </row>
    <row r="64" spans="1:24" x14ac:dyDescent="0.3">
      <c r="A64">
        <v>19.591529801586233</v>
      </c>
      <c r="B64">
        <v>3.7909064057553179</v>
      </c>
      <c r="C64">
        <v>4.7409784334293921</v>
      </c>
      <c r="D64">
        <v>14.500096931464279</v>
      </c>
      <c r="E64">
        <v>7.412277364592212</v>
      </c>
      <c r="F64">
        <v>11.335350001705734</v>
      </c>
      <c r="G64">
        <f t="shared" si="16"/>
        <v>14.010857297639983</v>
      </c>
      <c r="H64">
        <f t="shared" si="16"/>
        <v>14.752361412031716</v>
      </c>
      <c r="I64">
        <f t="shared" si="16"/>
        <v>16.406029733645838</v>
      </c>
      <c r="J64">
        <f t="shared" si="17"/>
        <v>6.2208019042484786</v>
      </c>
      <c r="K64">
        <f t="shared" si="17"/>
        <v>6.9687240579263854</v>
      </c>
      <c r="L64">
        <f t="shared" si="17"/>
        <v>8.1000329277288632</v>
      </c>
      <c r="M64">
        <f t="shared" si="18"/>
        <v>4.1921918920568473</v>
      </c>
      <c r="N64">
        <f t="shared" si="18"/>
        <v>4.6296050148216619</v>
      </c>
      <c r="O64">
        <f t="shared" si="18"/>
        <v>5.11639993824872</v>
      </c>
      <c r="P64">
        <f t="shared" si="7"/>
        <v>0.51115305447311898</v>
      </c>
      <c r="Q64">
        <f t="shared" si="15"/>
        <v>0.4943946896438613</v>
      </c>
      <c r="R64">
        <f t="shared" si="8"/>
        <v>0.45995056148627322</v>
      </c>
      <c r="S64">
        <f t="shared" si="9"/>
        <v>0.55670760723299628</v>
      </c>
      <c r="T64">
        <f t="shared" si="10"/>
        <v>0.52004356749275749</v>
      </c>
      <c r="U64">
        <f t="shared" si="11"/>
        <v>0.47119455281010736</v>
      </c>
      <c r="V64">
        <f t="shared" si="12"/>
        <v>0.78467365963026692</v>
      </c>
      <c r="W64">
        <f t="shared" si="13"/>
        <v>0.7620752739633232</v>
      </c>
      <c r="X64">
        <f t="shared" si="14"/>
        <v>0.73771340687631193</v>
      </c>
    </row>
    <row r="65" spans="1:24" x14ac:dyDescent="0.3">
      <c r="A65">
        <v>19.21130893746712</v>
      </c>
      <c r="B65">
        <v>3.496224370219859</v>
      </c>
      <c r="C65">
        <v>8.1994681891157057</v>
      </c>
      <c r="D65">
        <v>14.737803438537464</v>
      </c>
      <c r="E65">
        <v>7.5337901082740517</v>
      </c>
      <c r="F65">
        <v>11.521175411569763</v>
      </c>
      <c r="G65">
        <f t="shared" si="16"/>
        <v>14.010857297639983</v>
      </c>
      <c r="H65">
        <f t="shared" si="16"/>
        <v>14.752361412031716</v>
      </c>
      <c r="I65">
        <f t="shared" si="16"/>
        <v>16.406029733645838</v>
      </c>
      <c r="J65">
        <f t="shared" si="17"/>
        <v>6.2208019042484786</v>
      </c>
      <c r="K65">
        <f t="shared" si="17"/>
        <v>6.9687240579263854</v>
      </c>
      <c r="L65">
        <f t="shared" si="17"/>
        <v>8.1000329277288632</v>
      </c>
      <c r="M65">
        <f t="shared" si="18"/>
        <v>4.1921918920568473</v>
      </c>
      <c r="N65">
        <f t="shared" si="18"/>
        <v>4.6296050148216619</v>
      </c>
      <c r="O65">
        <f t="shared" si="18"/>
        <v>5.11639993824872</v>
      </c>
      <c r="P65">
        <f t="shared" si="7"/>
        <v>0.516433652713021</v>
      </c>
      <c r="Q65">
        <f t="shared" si="15"/>
        <v>0.49967912413210197</v>
      </c>
      <c r="R65">
        <f t="shared" si="8"/>
        <v>0.46520557840594895</v>
      </c>
      <c r="S65">
        <f t="shared" si="9"/>
        <v>0.56191786009117195</v>
      </c>
      <c r="T65">
        <f t="shared" si="10"/>
        <v>0.52531731359263945</v>
      </c>
      <c r="U65">
        <f t="shared" si="11"/>
        <v>0.47646469499059402</v>
      </c>
      <c r="V65">
        <f t="shared" si="12"/>
        <v>0.78822377425079393</v>
      </c>
      <c r="W65">
        <f t="shared" si="13"/>
        <v>0.76588680844652657</v>
      </c>
      <c r="X65">
        <f t="shared" si="14"/>
        <v>0.74178297798249915</v>
      </c>
    </row>
    <row r="66" spans="1:24" x14ac:dyDescent="0.3">
      <c r="A66">
        <v>12.363188438354106</v>
      </c>
      <c r="B66">
        <v>3.9593621755443693</v>
      </c>
      <c r="C66">
        <v>6.1317501520422875</v>
      </c>
      <c r="D66">
        <v>14.975509945610648</v>
      </c>
      <c r="E66">
        <v>7.6553028519558914</v>
      </c>
      <c r="F66">
        <v>11.707000821433791</v>
      </c>
      <c r="G66">
        <f t="shared" si="16"/>
        <v>14.010857297639983</v>
      </c>
      <c r="H66">
        <f t="shared" si="16"/>
        <v>14.752361412031716</v>
      </c>
      <c r="I66">
        <f t="shared" si="16"/>
        <v>16.406029733645838</v>
      </c>
      <c r="J66">
        <f t="shared" si="17"/>
        <v>6.2208019042484786</v>
      </c>
      <c r="K66">
        <f t="shared" si="17"/>
        <v>6.9687240579263854</v>
      </c>
      <c r="L66">
        <f t="shared" si="17"/>
        <v>8.1000329277288632</v>
      </c>
      <c r="M66">
        <f t="shared" si="18"/>
        <v>4.1921918920568473</v>
      </c>
      <c r="N66">
        <f t="shared" si="18"/>
        <v>4.6296050148216619</v>
      </c>
      <c r="O66">
        <f t="shared" si="18"/>
        <v>5.11639993824872</v>
      </c>
      <c r="P66">
        <f t="shared" si="7"/>
        <v>0.52162618401649608</v>
      </c>
      <c r="Q66">
        <f t="shared" si="15"/>
        <v>0.50487908015203986</v>
      </c>
      <c r="R66">
        <f t="shared" si="8"/>
        <v>0.47038406841827018</v>
      </c>
      <c r="S66">
        <f t="shared" si="9"/>
        <v>0.56703145557711143</v>
      </c>
      <c r="T66">
        <f t="shared" si="10"/>
        <v>0.53050117536275276</v>
      </c>
      <c r="U66">
        <f t="shared" si="11"/>
        <v>0.48165563838412084</v>
      </c>
      <c r="V66">
        <f t="shared" si="12"/>
        <v>0.79167511523314937</v>
      </c>
      <c r="W66">
        <f t="shared" si="13"/>
        <v>0.76959576911080085</v>
      </c>
      <c r="X66">
        <f t="shared" si="14"/>
        <v>0.74574703666359865</v>
      </c>
    </row>
    <row r="67" spans="1:24" x14ac:dyDescent="0.3">
      <c r="A67">
        <v>12.875321865440643</v>
      </c>
      <c r="B67">
        <v>3.5846766109260244</v>
      </c>
      <c r="C67">
        <v>5.5922248996965696</v>
      </c>
      <c r="D67">
        <v>15.213216452683833</v>
      </c>
      <c r="E67">
        <v>7.7768155956377312</v>
      </c>
      <c r="F67">
        <v>11.892826231297819</v>
      </c>
      <c r="G67">
        <f t="shared" si="16"/>
        <v>14.010857297639983</v>
      </c>
      <c r="H67">
        <f t="shared" si="16"/>
        <v>14.752361412031716</v>
      </c>
      <c r="I67">
        <f t="shared" si="16"/>
        <v>16.406029733645838</v>
      </c>
      <c r="J67">
        <f t="shared" si="17"/>
        <v>6.2208019042484786</v>
      </c>
      <c r="K67">
        <f t="shared" si="17"/>
        <v>6.9687240579263854</v>
      </c>
      <c r="L67">
        <f t="shared" si="17"/>
        <v>8.1000329277288632</v>
      </c>
      <c r="M67">
        <f t="shared" si="18"/>
        <v>4.1921918920568473</v>
      </c>
      <c r="N67">
        <f t="shared" si="18"/>
        <v>4.6296050148216619</v>
      </c>
      <c r="O67">
        <f t="shared" si="18"/>
        <v>5.11639993824872</v>
      </c>
      <c r="P67">
        <f t="shared" si="7"/>
        <v>0.5267323859201728</v>
      </c>
      <c r="Q67">
        <f t="shared" si="15"/>
        <v>0.50999611893930796</v>
      </c>
      <c r="R67">
        <f t="shared" si="8"/>
        <v>0.47548724354294702</v>
      </c>
      <c r="S67">
        <f t="shared" si="9"/>
        <v>0.57205061935328316</v>
      </c>
      <c r="T67">
        <f t="shared" si="10"/>
        <v>0.53559698498156305</v>
      </c>
      <c r="U67">
        <f t="shared" si="11"/>
        <v>0.4867687066438553</v>
      </c>
      <c r="V67">
        <f t="shared" si="12"/>
        <v>0.79503145581161094</v>
      </c>
      <c r="W67">
        <f t="shared" si="13"/>
        <v>0.77320592691142365</v>
      </c>
      <c r="X67">
        <f t="shared" si="14"/>
        <v>0.74960929704235157</v>
      </c>
    </row>
    <row r="68" spans="1:24" x14ac:dyDescent="0.3">
      <c r="A68">
        <v>12.490552527055836</v>
      </c>
      <c r="B68">
        <v>5.1738178980135521</v>
      </c>
      <c r="C68">
        <v>3.5253182469282862</v>
      </c>
      <c r="D68">
        <v>15.450922959757017</v>
      </c>
      <c r="E68">
        <v>7.8983283393195709</v>
      </c>
      <c r="F68">
        <v>12.078651641161848</v>
      </c>
      <c r="G68">
        <f t="shared" ref="G68:I99" si="19">PERCENTILE($A$3:$A$106, G$1)</f>
        <v>14.010857297639983</v>
      </c>
      <c r="H68">
        <f t="shared" si="19"/>
        <v>14.752361412031716</v>
      </c>
      <c r="I68">
        <f t="shared" si="19"/>
        <v>16.406029733645838</v>
      </c>
      <c r="J68">
        <f t="shared" ref="J68:L99" si="20">PERCENTILE($B$3:$B$106, J$1)</f>
        <v>6.2208019042484786</v>
      </c>
      <c r="K68">
        <f t="shared" si="20"/>
        <v>6.9687240579263854</v>
      </c>
      <c r="L68">
        <f t="shared" si="20"/>
        <v>8.1000329277288632</v>
      </c>
      <c r="M68">
        <f t="shared" ref="M68:O99" si="21">PERCENTILE($C$3:$C$106, M$1)</f>
        <v>4.1921918920568473</v>
      </c>
      <c r="N68">
        <f t="shared" si="21"/>
        <v>4.6296050148216619</v>
      </c>
      <c r="O68">
        <f t="shared" si="21"/>
        <v>5.11639993824872</v>
      </c>
      <c r="P68">
        <f t="shared" ref="P68:P131" si="22">IFERROR((POWER($D68, P$1)/(POWER($D68, P$1)+POWER(G68, P$1))), 0)</f>
        <v>0.53175396741242309</v>
      </c>
      <c r="Q68">
        <f t="shared" ref="Q68:Q131" si="23">IFERROR((POWER($D68, Q$1)/(POWER($D68, Q$1)+POWER(H68, Q$1))), 0)</f>
        <v>0.5150317805439083</v>
      </c>
      <c r="R68">
        <f t="shared" ref="R68:R131" si="24">IFERROR((POWER($D68, R$1)/(POWER($D68, R$1)+POWER(I68, R$1))), 0)</f>
        <v>0.48051630769765524</v>
      </c>
      <c r="S68">
        <f t="shared" ref="S68:S131" si="25">IFERROR((POWER($E68, S$1)/(POWER($E68, S$1)+POWER(J68, S$1))), 0)</f>
        <v>0.57697752549052284</v>
      </c>
      <c r="T68">
        <f t="shared" ref="T68:T131" si="26">IFERROR((POWER($E68, T$1)/(POWER($E68, T$1)+POWER(K68, T$1))), 0)</f>
        <v>0.54060654191912694</v>
      </c>
      <c r="U68">
        <f t="shared" ref="U68:U131" si="27">IFERROR((POWER($E68, U$1)/(POWER($E68, U$1)+POWER(L68, U$1))), 0)</f>
        <v>0.49180521135862865</v>
      </c>
      <c r="V68">
        <f t="shared" ref="V68:V131" si="28">IFERROR((POWER($F68, V$1)/(POWER($F68, V$1)+POWER(M68, V$1))), 0)</f>
        <v>0.79829638954619564</v>
      </c>
      <c r="W68">
        <f t="shared" ref="W68:W131" si="29">IFERROR((POWER($F68, W$1)/(POWER($F68, W$1)+POWER(N68, W$1))), 0)</f>
        <v>0.77672088111634163</v>
      </c>
      <c r="X68">
        <f t="shared" ref="X68:X131" si="30">IFERROR((POWER($F68, X$1)/(POWER($F68, X$1)+POWER(O68, X$1))), 0)</f>
        <v>0.75337331269566132</v>
      </c>
    </row>
    <row r="69" spans="1:24" x14ac:dyDescent="0.3">
      <c r="A69">
        <v>18.456176840030302</v>
      </c>
      <c r="B69">
        <v>13.080899329013276</v>
      </c>
      <c r="C69">
        <v>3.4801984386185087</v>
      </c>
      <c r="D69">
        <v>15.688629466830202</v>
      </c>
      <c r="E69">
        <v>8.0198410830014097</v>
      </c>
      <c r="F69">
        <v>12.264477051025876</v>
      </c>
      <c r="G69">
        <f t="shared" si="19"/>
        <v>14.010857297639983</v>
      </c>
      <c r="H69">
        <f t="shared" si="19"/>
        <v>14.752361412031716</v>
      </c>
      <c r="I69">
        <f t="shared" si="19"/>
        <v>16.406029733645838</v>
      </c>
      <c r="J69">
        <f t="shared" si="20"/>
        <v>6.2208019042484786</v>
      </c>
      <c r="K69">
        <f t="shared" si="20"/>
        <v>6.9687240579263854</v>
      </c>
      <c r="L69">
        <f t="shared" si="20"/>
        <v>8.1000329277288632</v>
      </c>
      <c r="M69">
        <f t="shared" si="21"/>
        <v>4.1921918920568473</v>
      </c>
      <c r="N69">
        <f t="shared" si="21"/>
        <v>4.6296050148216619</v>
      </c>
      <c r="O69">
        <f t="shared" si="21"/>
        <v>5.11639993824872</v>
      </c>
      <c r="P69">
        <f t="shared" si="22"/>
        <v>0.53669260844833178</v>
      </c>
      <c r="Q69">
        <f t="shared" si="23"/>
        <v>0.51998758307514747</v>
      </c>
      <c r="R69">
        <f t="shared" si="24"/>
        <v>0.48547245554309337</v>
      </c>
      <c r="S69">
        <f t="shared" si="25"/>
        <v>0.58181429698929443</v>
      </c>
      <c r="T69">
        <f t="shared" si="26"/>
        <v>0.5455316126166625</v>
      </c>
      <c r="U69">
        <f t="shared" si="27"/>
        <v>0.49676645100669686</v>
      </c>
      <c r="V69">
        <f t="shared" si="28"/>
        <v>0.80147334037636886</v>
      </c>
      <c r="W69">
        <f t="shared" si="29"/>
        <v>0.78014406840491979</v>
      </c>
      <c r="X69">
        <f t="shared" si="30"/>
        <v>0.75704248462481438</v>
      </c>
    </row>
    <row r="70" spans="1:24" x14ac:dyDescent="0.3">
      <c r="A70">
        <v>24.627665221509979</v>
      </c>
      <c r="B70">
        <v>9.4558802249080376</v>
      </c>
      <c r="C70">
        <v>2.042698444332832</v>
      </c>
      <c r="D70">
        <v>15.926335973903386</v>
      </c>
      <c r="E70">
        <v>8.1413538266832486</v>
      </c>
      <c r="F70">
        <v>12.450302460889905</v>
      </c>
      <c r="G70">
        <f t="shared" si="19"/>
        <v>14.010857297639983</v>
      </c>
      <c r="H70">
        <f t="shared" si="19"/>
        <v>14.752361412031716</v>
      </c>
      <c r="I70">
        <f t="shared" si="19"/>
        <v>16.406029733645838</v>
      </c>
      <c r="J70">
        <f t="shared" si="20"/>
        <v>6.2208019042484786</v>
      </c>
      <c r="K70">
        <f t="shared" si="20"/>
        <v>6.9687240579263854</v>
      </c>
      <c r="L70">
        <f t="shared" si="20"/>
        <v>8.1000329277288632</v>
      </c>
      <c r="M70">
        <f t="shared" si="21"/>
        <v>4.1921918920568473</v>
      </c>
      <c r="N70">
        <f t="shared" si="21"/>
        <v>4.6296050148216619</v>
      </c>
      <c r="O70">
        <f t="shared" si="21"/>
        <v>5.11639993824872</v>
      </c>
      <c r="P70">
        <f t="shared" si="22"/>
        <v>0.54154995958638563</v>
      </c>
      <c r="Q70">
        <f t="shared" si="23"/>
        <v>0.52486502207403685</v>
      </c>
      <c r="R70">
        <f t="shared" si="24"/>
        <v>0.49035687145773876</v>
      </c>
      <c r="S70">
        <f t="shared" si="25"/>
        <v>0.5865630063873486</v>
      </c>
      <c r="T70">
        <f t="shared" si="26"/>
        <v>0.55037393028333337</v>
      </c>
      <c r="U70">
        <f t="shared" si="27"/>
        <v>0.50165371003971782</v>
      </c>
      <c r="V70">
        <f t="shared" si="28"/>
        <v>0.8045655720420124</v>
      </c>
      <c r="W70">
        <f t="shared" si="29"/>
        <v>0.78347877143272127</v>
      </c>
      <c r="X70">
        <f t="shared" si="30"/>
        <v>0.76062006879831978</v>
      </c>
    </row>
    <row r="71" spans="1:24" x14ac:dyDescent="0.3">
      <c r="A71">
        <v>31.921525452166286</v>
      </c>
      <c r="B71">
        <v>6.3890259956578186</v>
      </c>
      <c r="C71">
        <v>0.989915562638223</v>
      </c>
      <c r="D71">
        <v>16.164042480976573</v>
      </c>
      <c r="E71">
        <v>8.2628665703650874</v>
      </c>
      <c r="F71">
        <v>12.636127870753933</v>
      </c>
      <c r="G71">
        <f t="shared" si="19"/>
        <v>14.010857297639983</v>
      </c>
      <c r="H71">
        <f t="shared" si="19"/>
        <v>14.752361412031716</v>
      </c>
      <c r="I71">
        <f t="shared" si="19"/>
        <v>16.406029733645838</v>
      </c>
      <c r="J71">
        <f t="shared" si="20"/>
        <v>6.2208019042484786</v>
      </c>
      <c r="K71">
        <f t="shared" si="20"/>
        <v>6.9687240579263854</v>
      </c>
      <c r="L71">
        <f t="shared" si="20"/>
        <v>8.1000329277288632</v>
      </c>
      <c r="M71">
        <f t="shared" si="21"/>
        <v>4.1921918920568473</v>
      </c>
      <c r="N71">
        <f t="shared" si="21"/>
        <v>4.6296050148216619</v>
      </c>
      <c r="O71">
        <f t="shared" si="21"/>
        <v>5.11639993824872</v>
      </c>
      <c r="P71">
        <f t="shared" si="22"/>
        <v>0.54632764173385118</v>
      </c>
      <c r="Q71">
        <f t="shared" si="23"/>
        <v>0.52966557000057057</v>
      </c>
      <c r="R71">
        <f t="shared" si="24"/>
        <v>0.49517072863110545</v>
      </c>
      <c r="S71">
        <f t="shared" si="25"/>
        <v>0.59122567644077317</v>
      </c>
      <c r="T71">
        <f t="shared" si="26"/>
        <v>0.55513519479706974</v>
      </c>
      <c r="U71">
        <f t="shared" si="27"/>
        <v>0.50646825808524876</v>
      </c>
      <c r="V71">
        <f t="shared" si="28"/>
        <v>0.80757619691466709</v>
      </c>
      <c r="W71">
        <f t="shared" si="29"/>
        <v>0.78672812689517257</v>
      </c>
      <c r="X71">
        <f t="shared" si="30"/>
        <v>0.76410918329004018</v>
      </c>
    </row>
    <row r="72" spans="1:24" x14ac:dyDescent="0.3">
      <c r="A72">
        <v>20.704550014117491</v>
      </c>
      <c r="B72">
        <v>3.3540235291122995</v>
      </c>
      <c r="C72">
        <v>4.2750595696342808</v>
      </c>
      <c r="D72">
        <v>16.401748988049757</v>
      </c>
      <c r="E72">
        <v>8.3843793140469263</v>
      </c>
      <c r="F72">
        <v>12.821953280617961</v>
      </c>
      <c r="G72">
        <f t="shared" si="19"/>
        <v>14.010857297639983</v>
      </c>
      <c r="H72">
        <f t="shared" si="19"/>
        <v>14.752361412031716</v>
      </c>
      <c r="I72">
        <f t="shared" si="19"/>
        <v>16.406029733645838</v>
      </c>
      <c r="J72">
        <f t="shared" si="20"/>
        <v>6.2208019042484786</v>
      </c>
      <c r="K72">
        <f t="shared" si="20"/>
        <v>6.9687240579263854</v>
      </c>
      <c r="L72">
        <f t="shared" si="20"/>
        <v>8.1000329277288632</v>
      </c>
      <c r="M72">
        <f t="shared" si="21"/>
        <v>4.1921918920568473</v>
      </c>
      <c r="N72">
        <f t="shared" si="21"/>
        <v>4.6296050148216619</v>
      </c>
      <c r="O72">
        <f t="shared" si="21"/>
        <v>5.11639993824872</v>
      </c>
      <c r="P72">
        <f t="shared" si="22"/>
        <v>0.55102724598906649</v>
      </c>
      <c r="Q72">
        <f t="shared" si="23"/>
        <v>0.53439067582445965</v>
      </c>
      <c r="R72">
        <f t="shared" si="24"/>
        <v>0.49991518826525388</v>
      </c>
      <c r="S72">
        <f t="shared" si="25"/>
        <v>0.59580428086687498</v>
      </c>
      <c r="T72">
        <f t="shared" si="26"/>
        <v>0.55981707269754089</v>
      </c>
      <c r="U72">
        <f t="shared" si="27"/>
        <v>0.51121134925707068</v>
      </c>
      <c r="V72">
        <f t="shared" si="28"/>
        <v>0.8105081842790709</v>
      </c>
      <c r="W72">
        <f t="shared" si="29"/>
        <v>0.78989513312103732</v>
      </c>
      <c r="X72">
        <f t="shared" si="30"/>
        <v>0.76751281503435498</v>
      </c>
    </row>
    <row r="73" spans="1:24" x14ac:dyDescent="0.3">
      <c r="A73">
        <v>14.277441151518563</v>
      </c>
      <c r="B73">
        <v>21.98275999335095</v>
      </c>
      <c r="C73">
        <v>4.8336214832380167</v>
      </c>
      <c r="D73">
        <v>16.639455495122942</v>
      </c>
      <c r="E73">
        <v>8.5058920577287651</v>
      </c>
      <c r="F73">
        <v>13.00777869048199</v>
      </c>
      <c r="G73">
        <f t="shared" si="19"/>
        <v>14.010857297639983</v>
      </c>
      <c r="H73">
        <f t="shared" si="19"/>
        <v>14.752361412031716</v>
      </c>
      <c r="I73">
        <f t="shared" si="19"/>
        <v>16.406029733645838</v>
      </c>
      <c r="J73">
        <f t="shared" si="20"/>
        <v>6.2208019042484786</v>
      </c>
      <c r="K73">
        <f t="shared" si="20"/>
        <v>6.9687240579263854</v>
      </c>
      <c r="L73">
        <f t="shared" si="20"/>
        <v>8.1000329277288632</v>
      </c>
      <c r="M73">
        <f t="shared" si="21"/>
        <v>4.1921918920568473</v>
      </c>
      <c r="N73">
        <f t="shared" si="21"/>
        <v>4.6296050148216619</v>
      </c>
      <c r="O73">
        <f t="shared" si="21"/>
        <v>5.11639993824872</v>
      </c>
      <c r="P73">
        <f t="shared" si="22"/>
        <v>0.55565033356999149</v>
      </c>
      <c r="Q73">
        <f t="shared" si="23"/>
        <v>0.53904176470892451</v>
      </c>
      <c r="R73">
        <f t="shared" si="24"/>
        <v>0.50459139887514848</v>
      </c>
      <c r="S73">
        <f t="shared" si="25"/>
        <v>0.60030074513864573</v>
      </c>
      <c r="T73">
        <f t="shared" si="26"/>
        <v>0.56442119726056394</v>
      </c>
      <c r="U73">
        <f t="shared" si="27"/>
        <v>0.51588422156356628</v>
      </c>
      <c r="V73">
        <f t="shared" si="28"/>
        <v>0.81336436810219404</v>
      </c>
      <c r="W73">
        <f t="shared" si="29"/>
        <v>0.79298265722476957</v>
      </c>
      <c r="X73">
        <f t="shared" si="30"/>
        <v>0.77083382621914631</v>
      </c>
    </row>
    <row r="74" spans="1:24" x14ac:dyDescent="0.3">
      <c r="A74">
        <v>19.551590077630138</v>
      </c>
      <c r="B74">
        <v>14.029000484211284</v>
      </c>
      <c r="C74">
        <v>3.6210969358933975</v>
      </c>
      <c r="D74">
        <v>16.877162002196126</v>
      </c>
      <c r="E74">
        <v>8.627404801410604</v>
      </c>
      <c r="F74">
        <v>13.193604100346018</v>
      </c>
      <c r="G74">
        <f t="shared" si="19"/>
        <v>14.010857297639983</v>
      </c>
      <c r="H74">
        <f t="shared" si="19"/>
        <v>14.752361412031716</v>
      </c>
      <c r="I74">
        <f t="shared" si="19"/>
        <v>16.406029733645838</v>
      </c>
      <c r="J74">
        <f t="shared" si="20"/>
        <v>6.2208019042484786</v>
      </c>
      <c r="K74">
        <f t="shared" si="20"/>
        <v>6.9687240579263854</v>
      </c>
      <c r="L74">
        <f t="shared" si="20"/>
        <v>8.1000329277288632</v>
      </c>
      <c r="M74">
        <f t="shared" si="21"/>
        <v>4.1921918920568473</v>
      </c>
      <c r="N74">
        <f t="shared" si="21"/>
        <v>4.6296050148216619</v>
      </c>
      <c r="O74">
        <f t="shared" si="21"/>
        <v>5.11639993824872</v>
      </c>
      <c r="P74">
        <f t="shared" si="22"/>
        <v>0.56019843581938589</v>
      </c>
      <c r="Q74">
        <f t="shared" si="23"/>
        <v>0.54362023777811042</v>
      </c>
      <c r="R74">
        <f t="shared" si="24"/>
        <v>0.50920049567925174</v>
      </c>
      <c r="S74">
        <f t="shared" si="25"/>
        <v>0.60471694732171755</v>
      </c>
      <c r="T74">
        <f t="shared" si="26"/>
        <v>0.56894916864428946</v>
      </c>
      <c r="U74">
        <f t="shared" si="27"/>
        <v>0.52048809640521176</v>
      </c>
      <c r="V74">
        <f t="shared" si="28"/>
        <v>0.81614745432435687</v>
      </c>
      <c r="W74">
        <f t="shared" si="29"/>
        <v>0.79599344184504994</v>
      </c>
      <c r="X74">
        <f t="shared" si="30"/>
        <v>0.77407496033643586</v>
      </c>
    </row>
    <row r="75" spans="1:24" x14ac:dyDescent="0.3">
      <c r="A75">
        <v>17.574521103080521</v>
      </c>
      <c r="B75">
        <v>9.2102563742196022</v>
      </c>
      <c r="C75">
        <v>5.0019393982720395</v>
      </c>
      <c r="D75">
        <v>17.114868509269311</v>
      </c>
      <c r="E75">
        <v>8.7489175450924428</v>
      </c>
      <c r="F75">
        <v>13.379429510210047</v>
      </c>
      <c r="G75">
        <f t="shared" si="19"/>
        <v>14.010857297639983</v>
      </c>
      <c r="H75">
        <f t="shared" si="19"/>
        <v>14.752361412031716</v>
      </c>
      <c r="I75">
        <f t="shared" si="19"/>
        <v>16.406029733645838</v>
      </c>
      <c r="J75">
        <f t="shared" si="20"/>
        <v>6.2208019042484786</v>
      </c>
      <c r="K75">
        <f t="shared" si="20"/>
        <v>6.9687240579263854</v>
      </c>
      <c r="L75">
        <f t="shared" si="20"/>
        <v>8.1000329277288632</v>
      </c>
      <c r="M75">
        <f t="shared" si="21"/>
        <v>4.1921918920568473</v>
      </c>
      <c r="N75">
        <f t="shared" si="21"/>
        <v>4.6296050148216619</v>
      </c>
      <c r="O75">
        <f t="shared" si="21"/>
        <v>5.11639993824872</v>
      </c>
      <c r="P75">
        <f t="shared" si="22"/>
        <v>0.5646730542779056</v>
      </c>
      <c r="Q75">
        <f t="shared" si="23"/>
        <v>0.54812747195953959</v>
      </c>
      <c r="R75">
        <f t="shared" si="24"/>
        <v>0.51374360007245434</v>
      </c>
      <c r="S75">
        <f t="shared" si="25"/>
        <v>0.6090547189457628</v>
      </c>
      <c r="T75">
        <f t="shared" si="26"/>
        <v>0.57340255409846042</v>
      </c>
      <c r="U75">
        <f t="shared" si="27"/>
        <v>0.52502417815301328</v>
      </c>
      <c r="V75">
        <f t="shared" si="28"/>
        <v>0.81886002770457322</v>
      </c>
      <c r="W75">
        <f t="shared" si="29"/>
        <v>0.79893011149512638</v>
      </c>
      <c r="X75">
        <f t="shared" si="30"/>
        <v>0.77723884790955244</v>
      </c>
    </row>
    <row r="76" spans="1:24" x14ac:dyDescent="0.3">
      <c r="A76">
        <v>24.075419830022412</v>
      </c>
      <c r="B76">
        <v>4.7804836566075428</v>
      </c>
      <c r="C76">
        <v>6.226049505879848</v>
      </c>
      <c r="D76">
        <v>17.352575016342495</v>
      </c>
      <c r="E76">
        <v>8.8704302887742816</v>
      </c>
      <c r="F76">
        <v>13.565254920074075</v>
      </c>
      <c r="G76">
        <f t="shared" si="19"/>
        <v>14.010857297639983</v>
      </c>
      <c r="H76">
        <f t="shared" si="19"/>
        <v>14.752361412031716</v>
      </c>
      <c r="I76">
        <f t="shared" si="19"/>
        <v>16.406029733645838</v>
      </c>
      <c r="J76">
        <f t="shared" si="20"/>
        <v>6.2208019042484786</v>
      </c>
      <c r="K76">
        <f t="shared" si="20"/>
        <v>6.9687240579263854</v>
      </c>
      <c r="L76">
        <f t="shared" si="20"/>
        <v>8.1000329277288632</v>
      </c>
      <c r="M76">
        <f t="shared" si="21"/>
        <v>4.1921918920568473</v>
      </c>
      <c r="N76">
        <f t="shared" si="21"/>
        <v>4.6296050148216619</v>
      </c>
      <c r="O76">
        <f t="shared" si="21"/>
        <v>5.11639993824872</v>
      </c>
      <c r="P76">
        <f t="shared" si="22"/>
        <v>0.56907566081724748</v>
      </c>
      <c r="Q76">
        <f t="shared" si="23"/>
        <v>0.55256481989380346</v>
      </c>
      <c r="R76">
        <f t="shared" si="24"/>
        <v>0.51822181917409649</v>
      </c>
      <c r="S76">
        <f t="shared" si="25"/>
        <v>0.61331584590321886</v>
      </c>
      <c r="T76">
        <f t="shared" si="26"/>
        <v>0.57778288822890123</v>
      </c>
      <c r="U76">
        <f t="shared" si="27"/>
        <v>0.52949365380041025</v>
      </c>
      <c r="V76">
        <f t="shared" si="28"/>
        <v>0.82150455824998558</v>
      </c>
      <c r="W76">
        <f t="shared" si="29"/>
        <v>0.80179517854898519</v>
      </c>
      <c r="X76">
        <f t="shared" si="30"/>
        <v>0.78032801191475809</v>
      </c>
    </row>
    <row r="77" spans="1:24" x14ac:dyDescent="0.3">
      <c r="A77">
        <v>18.050222063080366</v>
      </c>
      <c r="B77">
        <v>4.6774333192526019</v>
      </c>
      <c r="C77">
        <v>5.2936976801098217</v>
      </c>
      <c r="D77">
        <v>17.59028152341568</v>
      </c>
      <c r="E77">
        <v>8.9919430324561205</v>
      </c>
      <c r="F77">
        <v>13.751080329938103</v>
      </c>
      <c r="G77">
        <f t="shared" si="19"/>
        <v>14.010857297639983</v>
      </c>
      <c r="H77">
        <f t="shared" si="19"/>
        <v>14.752361412031716</v>
      </c>
      <c r="I77">
        <f t="shared" si="19"/>
        <v>16.406029733645838</v>
      </c>
      <c r="J77">
        <f t="shared" si="20"/>
        <v>6.2208019042484786</v>
      </c>
      <c r="K77">
        <f t="shared" si="20"/>
        <v>6.9687240579263854</v>
      </c>
      <c r="L77">
        <f t="shared" si="20"/>
        <v>8.1000329277288632</v>
      </c>
      <c r="M77">
        <f t="shared" si="21"/>
        <v>4.1921918920568473</v>
      </c>
      <c r="N77">
        <f t="shared" si="21"/>
        <v>4.6296050148216619</v>
      </c>
      <c r="O77">
        <f t="shared" si="21"/>
        <v>5.11639993824872</v>
      </c>
      <c r="P77">
        <f t="shared" si="22"/>
        <v>0.57340769782622658</v>
      </c>
      <c r="Q77">
        <f t="shared" si="23"/>
        <v>0.55693360990440299</v>
      </c>
      <c r="R77">
        <f t="shared" si="24"/>
        <v>0.52263624544443676</v>
      </c>
      <c r="S77">
        <f t="shared" si="25"/>
        <v>0.61750206936904495</v>
      </c>
      <c r="T77">
        <f t="shared" si="26"/>
        <v>0.58209167331016942</v>
      </c>
      <c r="U77">
        <f t="shared" si="27"/>
        <v>0.53389769268180531</v>
      </c>
      <c r="V77">
        <f t="shared" si="28"/>
        <v>0.82408340725714802</v>
      </c>
      <c r="W77">
        <f t="shared" si="29"/>
        <v>0.80459104888587074</v>
      </c>
      <c r="X77">
        <f t="shared" si="30"/>
        <v>0.78334487291435539</v>
      </c>
    </row>
    <row r="78" spans="1:24" x14ac:dyDescent="0.3">
      <c r="A78">
        <v>11.901977806678209</v>
      </c>
      <c r="B78">
        <v>5.0919708097331515</v>
      </c>
      <c r="C78">
        <v>5.5888486109064797</v>
      </c>
      <c r="D78">
        <v>17.827988030488864</v>
      </c>
      <c r="E78">
        <v>9.1134557761379593</v>
      </c>
      <c r="F78">
        <v>13.936905739802132</v>
      </c>
      <c r="G78">
        <f t="shared" si="19"/>
        <v>14.010857297639983</v>
      </c>
      <c r="H78">
        <f t="shared" si="19"/>
        <v>14.752361412031716</v>
      </c>
      <c r="I78">
        <f t="shared" si="19"/>
        <v>16.406029733645838</v>
      </c>
      <c r="J78">
        <f t="shared" si="20"/>
        <v>6.2208019042484786</v>
      </c>
      <c r="K78">
        <f t="shared" si="20"/>
        <v>6.9687240579263854</v>
      </c>
      <c r="L78">
        <f t="shared" si="20"/>
        <v>8.1000329277288632</v>
      </c>
      <c r="M78">
        <f t="shared" si="21"/>
        <v>4.1921918920568473</v>
      </c>
      <c r="N78">
        <f t="shared" si="21"/>
        <v>4.6296050148216619</v>
      </c>
      <c r="O78">
        <f t="shared" si="21"/>
        <v>5.11639993824872</v>
      </c>
      <c r="P78">
        <f t="shared" si="22"/>
        <v>0.57767057844335878</v>
      </c>
      <c r="Q78">
        <f t="shared" si="23"/>
        <v>0.56123514602129709</v>
      </c>
      <c r="R78">
        <f t="shared" si="24"/>
        <v>0.52698795636347129</v>
      </c>
      <c r="S78">
        <f t="shared" si="25"/>
        <v>0.62161508673597277</v>
      </c>
      <c r="T78">
        <f t="shared" si="26"/>
        <v>0.58633037964001855</v>
      </c>
      <c r="U78">
        <f t="shared" si="27"/>
        <v>0.5382374462514693</v>
      </c>
      <c r="V78">
        <f t="shared" si="28"/>
        <v>0.82659883299094772</v>
      </c>
      <c r="W78">
        <f t="shared" si="29"/>
        <v>0.80732002721425045</v>
      </c>
      <c r="X78">
        <f t="shared" si="30"/>
        <v>0.78629175391739803</v>
      </c>
    </row>
    <row r="79" spans="1:24" x14ac:dyDescent="0.3">
      <c r="A79">
        <v>10.347229685097625</v>
      </c>
      <c r="B79">
        <v>4.1559599496308959</v>
      </c>
      <c r="C79">
        <v>3.5500840913882064</v>
      </c>
      <c r="D79">
        <v>18.065694537562049</v>
      </c>
      <c r="E79">
        <v>9.2349685198197982</v>
      </c>
      <c r="F79">
        <v>14.12273114966616</v>
      </c>
      <c r="G79">
        <f t="shared" si="19"/>
        <v>14.010857297639983</v>
      </c>
      <c r="H79">
        <f t="shared" si="19"/>
        <v>14.752361412031716</v>
      </c>
      <c r="I79">
        <f t="shared" si="19"/>
        <v>16.406029733645838</v>
      </c>
      <c r="J79">
        <f t="shared" si="20"/>
        <v>6.2208019042484786</v>
      </c>
      <c r="K79">
        <f t="shared" si="20"/>
        <v>6.9687240579263854</v>
      </c>
      <c r="L79">
        <f t="shared" si="20"/>
        <v>8.1000329277288632</v>
      </c>
      <c r="M79">
        <f t="shared" si="21"/>
        <v>4.1921918920568473</v>
      </c>
      <c r="N79">
        <f t="shared" si="21"/>
        <v>4.6296050148216619</v>
      </c>
      <c r="O79">
        <f t="shared" si="21"/>
        <v>5.11639993824872</v>
      </c>
      <c r="P79">
        <f t="shared" si="22"/>
        <v>0.58186568683014472</v>
      </c>
      <c r="Q79">
        <f t="shared" si="23"/>
        <v>0.56547070805230426</v>
      </c>
      <c r="R79">
        <f t="shared" si="24"/>
        <v>0.53127801416651066</v>
      </c>
      <c r="S79">
        <f t="shared" si="25"/>
        <v>0.62565655256036379</v>
      </c>
      <c r="T79">
        <f t="shared" si="26"/>
        <v>0.59050044592994055</v>
      </c>
      <c r="U79">
        <f t="shared" si="27"/>
        <v>0.54251404791709434</v>
      </c>
      <c r="V79">
        <f t="shared" si="28"/>
        <v>0.82905299602512839</v>
      </c>
      <c r="W79">
        <f t="shared" si="29"/>
        <v>0.80998432209497451</v>
      </c>
      <c r="X79">
        <f t="shared" si="30"/>
        <v>0.78917088498326116</v>
      </c>
    </row>
    <row r="80" spans="1:24" x14ac:dyDescent="0.3">
      <c r="A80">
        <v>8.9811066748355053</v>
      </c>
      <c r="B80">
        <v>3.543792112225578</v>
      </c>
      <c r="C80">
        <v>2.418756678779276</v>
      </c>
      <c r="D80">
        <v>18.303401044635233</v>
      </c>
      <c r="E80">
        <v>9.356481263501637</v>
      </c>
      <c r="F80">
        <v>14.308556559530189</v>
      </c>
      <c r="G80">
        <f t="shared" si="19"/>
        <v>14.010857297639983</v>
      </c>
      <c r="H80">
        <f t="shared" si="19"/>
        <v>14.752361412031716</v>
      </c>
      <c r="I80">
        <f t="shared" si="19"/>
        <v>16.406029733645838</v>
      </c>
      <c r="J80">
        <f t="shared" si="20"/>
        <v>6.2208019042484786</v>
      </c>
      <c r="K80">
        <f t="shared" si="20"/>
        <v>6.9687240579263854</v>
      </c>
      <c r="L80">
        <f t="shared" si="20"/>
        <v>8.1000329277288632</v>
      </c>
      <c r="M80">
        <f t="shared" si="21"/>
        <v>4.1921918920568473</v>
      </c>
      <c r="N80">
        <f t="shared" si="21"/>
        <v>4.6296050148216619</v>
      </c>
      <c r="O80">
        <f t="shared" si="21"/>
        <v>5.11639993824872</v>
      </c>
      <c r="P80">
        <f t="shared" si="22"/>
        <v>0.5859943784798114</v>
      </c>
      <c r="Q80">
        <f t="shared" si="23"/>
        <v>0.56964155169703923</v>
      </c>
      <c r="R80">
        <f t="shared" si="24"/>
        <v>0.53550746563138207</v>
      </c>
      <c r="S80">
        <f t="shared" si="25"/>
        <v>0.62962807951438837</v>
      </c>
      <c r="T80">
        <f t="shared" si="26"/>
        <v>0.59460327972664873</v>
      </c>
      <c r="U80">
        <f t="shared" si="27"/>
        <v>0.54672861292275821</v>
      </c>
      <c r="V80">
        <f t="shared" si="28"/>
        <v>0.83144796426669343</v>
      </c>
      <c r="W80">
        <f t="shared" si="29"/>
        <v>0.81258605068212919</v>
      </c>
      <c r="X80">
        <f t="shared" si="30"/>
        <v>0.79198440758250743</v>
      </c>
    </row>
    <row r="81" spans="1:24" x14ac:dyDescent="0.3">
      <c r="A81">
        <v>12.223552811619923</v>
      </c>
      <c r="B81">
        <v>2.4245533003926312</v>
      </c>
      <c r="C81">
        <v>3.9632402053857545</v>
      </c>
      <c r="D81">
        <v>18.541107551708418</v>
      </c>
      <c r="E81">
        <v>9.4779940071834758</v>
      </c>
      <c r="F81">
        <v>14.494381969394217</v>
      </c>
      <c r="G81">
        <f t="shared" si="19"/>
        <v>14.010857297639983</v>
      </c>
      <c r="H81">
        <f t="shared" si="19"/>
        <v>14.752361412031716</v>
      </c>
      <c r="I81">
        <f t="shared" si="19"/>
        <v>16.406029733645838</v>
      </c>
      <c r="J81">
        <f t="shared" si="20"/>
        <v>6.2208019042484786</v>
      </c>
      <c r="K81">
        <f t="shared" si="20"/>
        <v>6.9687240579263854</v>
      </c>
      <c r="L81">
        <f t="shared" si="20"/>
        <v>8.1000329277288632</v>
      </c>
      <c r="M81">
        <f t="shared" si="21"/>
        <v>4.1921918920568473</v>
      </c>
      <c r="N81">
        <f t="shared" si="21"/>
        <v>4.6296050148216619</v>
      </c>
      <c r="O81">
        <f t="shared" si="21"/>
        <v>5.11639993824872</v>
      </c>
      <c r="P81">
        <f t="shared" si="22"/>
        <v>0.59005798055678482</v>
      </c>
      <c r="Q81">
        <f t="shared" si="23"/>
        <v>0.57374890869855566</v>
      </c>
      <c r="R81">
        <f t="shared" si="24"/>
        <v>0.53967734191254857</v>
      </c>
      <c r="S81">
        <f t="shared" si="25"/>
        <v>0.63353123934076871</v>
      </c>
      <c r="T81">
        <f t="shared" si="26"/>
        <v>0.59864025785987285</v>
      </c>
      <c r="U81">
        <f t="shared" si="27"/>
        <v>0.55088223827651339</v>
      </c>
      <c r="V81">
        <f t="shared" si="28"/>
        <v>0.83378571768489129</v>
      </c>
      <c r="W81">
        <f t="shared" si="29"/>
        <v>0.81512724319889007</v>
      </c>
      <c r="X81">
        <f t="shared" si="30"/>
        <v>0.79473437872867869</v>
      </c>
    </row>
    <row r="82" spans="1:24" x14ac:dyDescent="0.3">
      <c r="A82">
        <v>13.978142112383804</v>
      </c>
      <c r="B82">
        <v>9.5908950616786264</v>
      </c>
      <c r="C82">
        <v>2.4994426367080766</v>
      </c>
      <c r="D82">
        <v>18.778814058781602</v>
      </c>
      <c r="E82">
        <v>9.5995067508653147</v>
      </c>
      <c r="F82">
        <v>14.680207379258245</v>
      </c>
      <c r="G82">
        <f t="shared" si="19"/>
        <v>14.010857297639983</v>
      </c>
      <c r="H82">
        <f t="shared" si="19"/>
        <v>14.752361412031716</v>
      </c>
      <c r="I82">
        <f t="shared" si="19"/>
        <v>16.406029733645838</v>
      </c>
      <c r="J82">
        <f t="shared" si="20"/>
        <v>6.2208019042484786</v>
      </c>
      <c r="K82">
        <f t="shared" si="20"/>
        <v>6.9687240579263854</v>
      </c>
      <c r="L82">
        <f t="shared" si="20"/>
        <v>8.1000329277288632</v>
      </c>
      <c r="M82">
        <f t="shared" si="21"/>
        <v>4.1921918920568473</v>
      </c>
      <c r="N82">
        <f t="shared" si="21"/>
        <v>4.6296050148216619</v>
      </c>
      <c r="O82">
        <f t="shared" si="21"/>
        <v>5.11639993824872</v>
      </c>
      <c r="P82">
        <f t="shared" si="22"/>
        <v>0.59405779226262523</v>
      </c>
      <c r="Q82">
        <f t="shared" si="23"/>
        <v>0.57779398702830564</v>
      </c>
      <c r="R82">
        <f t="shared" si="24"/>
        <v>0.54378865841781987</v>
      </c>
      <c r="S82">
        <f t="shared" si="25"/>
        <v>0.63736756380679926</v>
      </c>
      <c r="T82">
        <f t="shared" si="26"/>
        <v>0.60261272691231171</v>
      </c>
      <c r="U82">
        <f t="shared" si="27"/>
        <v>0.55497600271821079</v>
      </c>
      <c r="V82">
        <f t="shared" si="28"/>
        <v>0.83606815276403024</v>
      </c>
      <c r="W82">
        <f t="shared" si="29"/>
        <v>0.81760984716457197</v>
      </c>
      <c r="X82">
        <f t="shared" si="30"/>
        <v>0.79742277489388591</v>
      </c>
    </row>
    <row r="83" spans="1:24" x14ac:dyDescent="0.3">
      <c r="A83">
        <v>14.439069759486141</v>
      </c>
      <c r="B83">
        <v>7.4892601326819932</v>
      </c>
      <c r="C83">
        <v>1.7641660782231314</v>
      </c>
      <c r="D83">
        <v>19.016520565854787</v>
      </c>
      <c r="E83">
        <v>9.7210194945471535</v>
      </c>
      <c r="F83">
        <v>14.866032789122274</v>
      </c>
      <c r="G83">
        <f t="shared" si="19"/>
        <v>14.010857297639983</v>
      </c>
      <c r="H83">
        <f t="shared" si="19"/>
        <v>14.752361412031716</v>
      </c>
      <c r="I83">
        <f t="shared" si="19"/>
        <v>16.406029733645838</v>
      </c>
      <c r="J83">
        <f t="shared" si="20"/>
        <v>6.2208019042484786</v>
      </c>
      <c r="K83">
        <f t="shared" si="20"/>
        <v>6.9687240579263854</v>
      </c>
      <c r="L83">
        <f t="shared" si="20"/>
        <v>8.1000329277288632</v>
      </c>
      <c r="M83">
        <f t="shared" si="21"/>
        <v>4.1921918920568473</v>
      </c>
      <c r="N83">
        <f t="shared" si="21"/>
        <v>4.6296050148216619</v>
      </c>
      <c r="O83">
        <f t="shared" si="21"/>
        <v>5.11639993824872</v>
      </c>
      <c r="P83">
        <f t="shared" si="22"/>
        <v>0.59799508522458211</v>
      </c>
      <c r="Q83">
        <f t="shared" si="23"/>
        <v>0.58177797110043949</v>
      </c>
      <c r="R83">
        <f t="shared" si="24"/>
        <v>0.54784241472369322</v>
      </c>
      <c r="S83">
        <f t="shared" si="25"/>
        <v>0.64113854565478789</v>
      </c>
      <c r="T83">
        <f t="shared" si="26"/>
        <v>0.60652200370801967</v>
      </c>
      <c r="U83">
        <f t="shared" si="27"/>
        <v>0.55901096672355577</v>
      </c>
      <c r="V83">
        <f t="shared" si="28"/>
        <v>0.83829708669802361</v>
      </c>
      <c r="W83">
        <f t="shared" si="29"/>
        <v>0.82003573138803865</v>
      </c>
      <c r="X83">
        <f t="shared" si="30"/>
        <v>0.80005149572034728</v>
      </c>
    </row>
    <row r="84" spans="1:24" x14ac:dyDescent="0.3">
      <c r="A84">
        <v>24.964701907177286</v>
      </c>
      <c r="B84">
        <v>5.353382945792637</v>
      </c>
      <c r="C84">
        <v>33.61750596631061</v>
      </c>
      <c r="D84">
        <v>19.254227072927971</v>
      </c>
      <c r="E84">
        <v>9.8425322382289924</v>
      </c>
      <c r="F84">
        <v>15.051858198986302</v>
      </c>
      <c r="G84">
        <f t="shared" si="19"/>
        <v>14.010857297639983</v>
      </c>
      <c r="H84">
        <f t="shared" si="19"/>
        <v>14.752361412031716</v>
      </c>
      <c r="I84">
        <f t="shared" si="19"/>
        <v>16.406029733645838</v>
      </c>
      <c r="J84">
        <f t="shared" si="20"/>
        <v>6.2208019042484786</v>
      </c>
      <c r="K84">
        <f t="shared" si="20"/>
        <v>6.9687240579263854</v>
      </c>
      <c r="L84">
        <f t="shared" si="20"/>
        <v>8.1000329277288632</v>
      </c>
      <c r="M84">
        <f t="shared" si="21"/>
        <v>4.1921918920568473</v>
      </c>
      <c r="N84">
        <f t="shared" si="21"/>
        <v>4.6296050148216619</v>
      </c>
      <c r="O84">
        <f t="shared" si="21"/>
        <v>5.11639993824872</v>
      </c>
      <c r="P84">
        <f t="shared" si="22"/>
        <v>0.60187110390330478</v>
      </c>
      <c r="Q84">
        <f t="shared" si="23"/>
        <v>0.58570202201182719</v>
      </c>
      <c r="R84">
        <f t="shared" si="24"/>
        <v>0.55183959452568188</v>
      </c>
      <c r="S84">
        <f t="shared" si="25"/>
        <v>0.64484563954642815</v>
      </c>
      <c r="T84">
        <f t="shared" si="26"/>
        <v>0.61036937581588124</v>
      </c>
      <c r="U84">
        <f t="shared" si="27"/>
        <v>0.56298817254072242</v>
      </c>
      <c r="V84">
        <f t="shared" si="28"/>
        <v>0.84047426134330916</v>
      </c>
      <c r="W84">
        <f t="shared" si="29"/>
        <v>0.82240668974164899</v>
      </c>
      <c r="X84">
        <f t="shared" si="30"/>
        <v>0.80262236753932736</v>
      </c>
    </row>
    <row r="85" spans="1:24" x14ac:dyDescent="0.3">
      <c r="A85">
        <v>24.683905855276109</v>
      </c>
      <c r="B85">
        <v>9.6361767825942284</v>
      </c>
      <c r="C85">
        <v>20.884219559670523</v>
      </c>
      <c r="D85">
        <v>19.491933580001156</v>
      </c>
      <c r="E85">
        <v>9.9640449819108312</v>
      </c>
      <c r="F85">
        <v>15.237683608850331</v>
      </c>
      <c r="G85">
        <f t="shared" si="19"/>
        <v>14.010857297639983</v>
      </c>
      <c r="H85">
        <f t="shared" si="19"/>
        <v>14.752361412031716</v>
      </c>
      <c r="I85">
        <f t="shared" si="19"/>
        <v>16.406029733645838</v>
      </c>
      <c r="J85">
        <f t="shared" si="20"/>
        <v>6.2208019042484786</v>
      </c>
      <c r="K85">
        <f t="shared" si="20"/>
        <v>6.9687240579263854</v>
      </c>
      <c r="L85">
        <f t="shared" si="20"/>
        <v>8.1000329277288632</v>
      </c>
      <c r="M85">
        <f t="shared" si="21"/>
        <v>4.1921918920568473</v>
      </c>
      <c r="N85">
        <f t="shared" si="21"/>
        <v>4.6296050148216619</v>
      </c>
      <c r="O85">
        <f t="shared" si="21"/>
        <v>5.11639993824872</v>
      </c>
      <c r="P85">
        <f t="shared" si="22"/>
        <v>0.60568706601659006</v>
      </c>
      <c r="Q85">
        <f t="shared" si="23"/>
        <v>0.58956727780452789</v>
      </c>
      <c r="R85">
        <f t="shared" si="24"/>
        <v>0.55578116562028956</v>
      </c>
      <c r="S85">
        <f t="shared" si="25"/>
        <v>0.64849026299895995</v>
      </c>
      <c r="T85">
        <f t="shared" si="26"/>
        <v>0.61415610206518412</v>
      </c>
      <c r="U85">
        <f t="shared" si="27"/>
        <v>0.56690864425617604</v>
      </c>
      <c r="V85">
        <f t="shared" si="28"/>
        <v>0.84260134694563105</v>
      </c>
      <c r="W85">
        <f t="shared" si="29"/>
        <v>0.82472444472901529</v>
      </c>
      <c r="X85">
        <f t="shared" si="30"/>
        <v>0.80513714670827996</v>
      </c>
    </row>
    <row r="86" spans="1:24" x14ac:dyDescent="0.3">
      <c r="A86">
        <v>16.787442310029444</v>
      </c>
      <c r="B86">
        <v>13.172391836640106</v>
      </c>
      <c r="C86">
        <v>10.727406456722665</v>
      </c>
      <c r="D86">
        <v>19.72964008707434</v>
      </c>
      <c r="E86">
        <v>10.08555772559267</v>
      </c>
      <c r="F86">
        <v>15.423509018714359</v>
      </c>
      <c r="G86">
        <f t="shared" si="19"/>
        <v>14.010857297639983</v>
      </c>
      <c r="H86">
        <f t="shared" si="19"/>
        <v>14.752361412031716</v>
      </c>
      <c r="I86">
        <f t="shared" si="19"/>
        <v>16.406029733645838</v>
      </c>
      <c r="J86">
        <f t="shared" si="20"/>
        <v>6.2208019042484786</v>
      </c>
      <c r="K86">
        <f t="shared" si="20"/>
        <v>6.9687240579263854</v>
      </c>
      <c r="L86">
        <f t="shared" si="20"/>
        <v>8.1000329277288632</v>
      </c>
      <c r="M86">
        <f t="shared" si="21"/>
        <v>4.1921918920568473</v>
      </c>
      <c r="N86">
        <f t="shared" si="21"/>
        <v>4.6296050148216619</v>
      </c>
      <c r="O86">
        <f t="shared" si="21"/>
        <v>5.11639993824872</v>
      </c>
      <c r="P86">
        <f t="shared" si="22"/>
        <v>0.6094441629763665</v>
      </c>
      <c r="Q86">
        <f t="shared" si="23"/>
        <v>0.59337485374773624</v>
      </c>
      <c r="R86">
        <f t="shared" si="24"/>
        <v>0.55966807991557188</v>
      </c>
      <c r="S86">
        <f t="shared" si="25"/>
        <v>0.65207379731127069</v>
      </c>
      <c r="T86">
        <f t="shared" si="26"/>
        <v>0.61788341307061323</v>
      </c>
      <c r="U86">
        <f t="shared" si="27"/>
        <v>0.57077338788663379</v>
      </c>
      <c r="V86">
        <f t="shared" si="28"/>
        <v>0.84467994565509696</v>
      </c>
      <c r="W86">
        <f t="shared" si="29"/>
        <v>0.82699065085898826</v>
      </c>
      <c r="X86">
        <f t="shared" si="30"/>
        <v>0.80759752277637531</v>
      </c>
    </row>
    <row r="87" spans="1:24" x14ac:dyDescent="0.3">
      <c r="A87">
        <v>18.348653158085536</v>
      </c>
      <c r="B87">
        <v>7.2044407117589309</v>
      </c>
      <c r="C87">
        <v>6.0313746409501103</v>
      </c>
      <c r="D87">
        <v>19.967346594147525</v>
      </c>
      <c r="E87">
        <v>10.207070469274509</v>
      </c>
      <c r="F87">
        <v>15.609334428578387</v>
      </c>
      <c r="G87">
        <f t="shared" si="19"/>
        <v>14.010857297639983</v>
      </c>
      <c r="H87">
        <f t="shared" si="19"/>
        <v>14.752361412031716</v>
      </c>
      <c r="I87">
        <f t="shared" si="19"/>
        <v>16.406029733645838</v>
      </c>
      <c r="J87">
        <f t="shared" si="20"/>
        <v>6.2208019042484786</v>
      </c>
      <c r="K87">
        <f t="shared" si="20"/>
        <v>6.9687240579263854</v>
      </c>
      <c r="L87">
        <f t="shared" si="20"/>
        <v>8.1000329277288632</v>
      </c>
      <c r="M87">
        <f t="shared" si="21"/>
        <v>4.1921918920568473</v>
      </c>
      <c r="N87">
        <f t="shared" si="21"/>
        <v>4.6296050148216619</v>
      </c>
      <c r="O87">
        <f t="shared" si="21"/>
        <v>5.11639993824872</v>
      </c>
      <c r="P87">
        <f t="shared" si="22"/>
        <v>0.61314356033639517</v>
      </c>
      <c r="Q87">
        <f t="shared" si="23"/>
        <v>0.59712584263651136</v>
      </c>
      <c r="R87">
        <f t="shared" si="24"/>
        <v>0.56350127346746537</v>
      </c>
      <c r="S87">
        <f t="shared" si="25"/>
        <v>0.65559758847835714</v>
      </c>
      <c r="T87">
        <f t="shared" si="26"/>
        <v>0.62155251176427662</v>
      </c>
      <c r="U87">
        <f t="shared" si="27"/>
        <v>0.57458339149436255</v>
      </c>
      <c r="V87">
        <f t="shared" si="28"/>
        <v>0.84671159484292235</v>
      </c>
      <c r="W87">
        <f t="shared" si="29"/>
        <v>0.82920689783749102</v>
      </c>
      <c r="X87">
        <f t="shared" si="30"/>
        <v>0.81000512148799897</v>
      </c>
    </row>
    <row r="88" spans="1:24" x14ac:dyDescent="0.3">
      <c r="A88">
        <v>15.266955728570831</v>
      </c>
      <c r="B88">
        <v>13.221071764641636</v>
      </c>
      <c r="C88">
        <v>3.2056531894780069</v>
      </c>
      <c r="D88">
        <v>20.20505310122071</v>
      </c>
      <c r="E88">
        <v>10.328583212956348</v>
      </c>
      <c r="F88">
        <v>15.795159838442416</v>
      </c>
      <c r="G88">
        <f t="shared" si="19"/>
        <v>14.010857297639983</v>
      </c>
      <c r="H88">
        <f t="shared" si="19"/>
        <v>14.752361412031716</v>
      </c>
      <c r="I88">
        <f t="shared" si="19"/>
        <v>16.406029733645838</v>
      </c>
      <c r="J88">
        <f t="shared" si="20"/>
        <v>6.2208019042484786</v>
      </c>
      <c r="K88">
        <f t="shared" si="20"/>
        <v>6.9687240579263854</v>
      </c>
      <c r="L88">
        <f t="shared" si="20"/>
        <v>8.1000329277288632</v>
      </c>
      <c r="M88">
        <f t="shared" si="21"/>
        <v>4.1921918920568473</v>
      </c>
      <c r="N88">
        <f t="shared" si="21"/>
        <v>4.6296050148216619</v>
      </c>
      <c r="O88">
        <f t="shared" si="21"/>
        <v>5.11639993824872</v>
      </c>
      <c r="P88">
        <f t="shared" si="22"/>
        <v>0.61678639824842763</v>
      </c>
      <c r="Q88">
        <f t="shared" si="23"/>
        <v>0.60082131510485415</v>
      </c>
      <c r="R88">
        <f t="shared" si="24"/>
        <v>0.56728166653931356</v>
      </c>
      <c r="S88">
        <f t="shared" si="25"/>
        <v>0.65906294809280686</v>
      </c>
      <c r="T88">
        <f t="shared" si="26"/>
        <v>0.6251645739326267</v>
      </c>
      <c r="U88">
        <f t="shared" si="27"/>
        <v>0.57833962532324557</v>
      </c>
      <c r="V88">
        <f t="shared" si="28"/>
        <v>0.8486977702323566</v>
      </c>
      <c r="W88">
        <f t="shared" si="29"/>
        <v>0.83137471358807558</v>
      </c>
      <c r="X88">
        <f t="shared" si="30"/>
        <v>0.81236150763326165</v>
      </c>
    </row>
    <row r="89" spans="1:24" x14ac:dyDescent="0.3">
      <c r="A89">
        <v>12.686860778556818</v>
      </c>
      <c r="B89">
        <v>8.7611357609390268</v>
      </c>
      <c r="C89">
        <v>9.0110198212114625</v>
      </c>
      <c r="D89">
        <v>20.442759608293894</v>
      </c>
      <c r="E89">
        <v>10.450095956638187</v>
      </c>
      <c r="F89">
        <v>15.980985248306444</v>
      </c>
      <c r="G89">
        <f t="shared" si="19"/>
        <v>14.010857297639983</v>
      </c>
      <c r="H89">
        <f t="shared" si="19"/>
        <v>14.752361412031716</v>
      </c>
      <c r="I89">
        <f t="shared" si="19"/>
        <v>16.406029733645838</v>
      </c>
      <c r="J89">
        <f t="shared" si="20"/>
        <v>6.2208019042484786</v>
      </c>
      <c r="K89">
        <f t="shared" si="20"/>
        <v>6.9687240579263854</v>
      </c>
      <c r="L89">
        <f t="shared" si="20"/>
        <v>8.1000329277288632</v>
      </c>
      <c r="M89">
        <f t="shared" si="21"/>
        <v>4.1921918920568473</v>
      </c>
      <c r="N89">
        <f t="shared" si="21"/>
        <v>4.6296050148216619</v>
      </c>
      <c r="O89">
        <f t="shared" si="21"/>
        <v>5.11639993824872</v>
      </c>
      <c r="P89">
        <f t="shared" si="22"/>
        <v>0.6203737919247958</v>
      </c>
      <c r="Q89">
        <f t="shared" si="23"/>
        <v>0.6044623199509227</v>
      </c>
      <c r="R89">
        <f t="shared" si="24"/>
        <v>0.57101016368221491</v>
      </c>
      <c r="S89">
        <f t="shared" si="25"/>
        <v>0.66247115423217051</v>
      </c>
      <c r="T89">
        <f t="shared" si="26"/>
        <v>0.62872074875638295</v>
      </c>
      <c r="U89">
        <f t="shared" si="27"/>
        <v>0.58204304195328027</v>
      </c>
      <c r="V89">
        <f t="shared" si="28"/>
        <v>0.85063988885542119</v>
      </c>
      <c r="W89">
        <f t="shared" si="29"/>
        <v>0.8334955671113824</v>
      </c>
      <c r="X89">
        <f t="shared" si="30"/>
        <v>0.81466818775402572</v>
      </c>
    </row>
    <row r="90" spans="1:24" x14ac:dyDescent="0.3">
      <c r="A90">
        <v>18.134500508915092</v>
      </c>
      <c r="B90">
        <v>7.1024559314932736</v>
      </c>
      <c r="C90">
        <v>5.6134055310195281</v>
      </c>
      <c r="D90">
        <v>20.680466115367079</v>
      </c>
      <c r="E90">
        <v>10.571608700320025</v>
      </c>
      <c r="F90">
        <v>16.166810658170473</v>
      </c>
      <c r="G90">
        <f t="shared" si="19"/>
        <v>14.010857297639983</v>
      </c>
      <c r="H90">
        <f t="shared" si="19"/>
        <v>14.752361412031716</v>
      </c>
      <c r="I90">
        <f t="shared" si="19"/>
        <v>16.406029733645838</v>
      </c>
      <c r="J90">
        <f t="shared" si="20"/>
        <v>6.2208019042484786</v>
      </c>
      <c r="K90">
        <f t="shared" si="20"/>
        <v>6.9687240579263854</v>
      </c>
      <c r="L90">
        <f t="shared" si="20"/>
        <v>8.1000329277288632</v>
      </c>
      <c r="M90">
        <f t="shared" si="21"/>
        <v>4.1921918920568473</v>
      </c>
      <c r="N90">
        <f t="shared" si="21"/>
        <v>4.6296050148216619</v>
      </c>
      <c r="O90">
        <f t="shared" si="21"/>
        <v>5.11639993824872</v>
      </c>
      <c r="P90">
        <f t="shared" si="22"/>
        <v>0.62390683210562203</v>
      </c>
      <c r="Q90">
        <f t="shared" si="23"/>
        <v>0.60804988447239516</v>
      </c>
      <c r="R90">
        <f t="shared" si="24"/>
        <v>0.57468765383403131</v>
      </c>
      <c r="S90">
        <f t="shared" si="25"/>
        <v>0.6658234523312867</v>
      </c>
      <c r="T90">
        <f t="shared" si="26"/>
        <v>0.63222215935176573</v>
      </c>
      <c r="U90">
        <f t="shared" si="27"/>
        <v>0.58569457647136669</v>
      </c>
      <c r="V90">
        <f t="shared" si="28"/>
        <v>0.85253931184630483</v>
      </c>
      <c r="W90">
        <f t="shared" si="29"/>
        <v>0.83557087119303031</v>
      </c>
      <c r="X90">
        <f t="shared" si="30"/>
        <v>0.81692661271346489</v>
      </c>
    </row>
    <row r="91" spans="1:24" x14ac:dyDescent="0.3">
      <c r="A91">
        <v>12.743664707073265</v>
      </c>
      <c r="B91">
        <v>10.142303311621808</v>
      </c>
      <c r="C91">
        <v>6.4233447698582271</v>
      </c>
      <c r="D91">
        <v>20.918172622440263</v>
      </c>
      <c r="E91">
        <v>10.693121444001864</v>
      </c>
      <c r="F91">
        <v>16.352636068034503</v>
      </c>
      <c r="G91">
        <f t="shared" si="19"/>
        <v>14.010857297639983</v>
      </c>
      <c r="H91">
        <f t="shared" si="19"/>
        <v>14.752361412031716</v>
      </c>
      <c r="I91">
        <f t="shared" si="19"/>
        <v>16.406029733645838</v>
      </c>
      <c r="J91">
        <f t="shared" si="20"/>
        <v>6.2208019042484786</v>
      </c>
      <c r="K91">
        <f t="shared" si="20"/>
        <v>6.9687240579263854</v>
      </c>
      <c r="L91">
        <f t="shared" si="20"/>
        <v>8.1000329277288632</v>
      </c>
      <c r="M91">
        <f t="shared" si="21"/>
        <v>4.1921918920568473</v>
      </c>
      <c r="N91">
        <f t="shared" si="21"/>
        <v>4.6296050148216619</v>
      </c>
      <c r="O91">
        <f t="shared" si="21"/>
        <v>5.11639993824872</v>
      </c>
      <c r="P91">
        <f t="shared" si="22"/>
        <v>0.62738658552902815</v>
      </c>
      <c r="Q91">
        <f t="shared" si="23"/>
        <v>0.61158501481017613</v>
      </c>
      <c r="R91">
        <f t="shared" si="24"/>
        <v>0.5783150104350635</v>
      </c>
      <c r="S91">
        <f t="shared" si="25"/>
        <v>0.66912105603878191</v>
      </c>
      <c r="T91">
        <f t="shared" si="26"/>
        <v>0.63566990331154771</v>
      </c>
      <c r="U91">
        <f t="shared" si="27"/>
        <v>0.58929514665643357</v>
      </c>
      <c r="V91">
        <f t="shared" si="28"/>
        <v>0.85439734708151549</v>
      </c>
      <c r="W91">
        <f t="shared" si="29"/>
        <v>0.83760198496886051</v>
      </c>
      <c r="X91">
        <f t="shared" si="30"/>
        <v>0.8191381801367017</v>
      </c>
    </row>
    <row r="92" spans="1:24" x14ac:dyDescent="0.3">
      <c r="A92">
        <v>15.54902448120075</v>
      </c>
      <c r="B92">
        <v>5.7941270509241711</v>
      </c>
      <c r="C92">
        <v>5.830452557518802</v>
      </c>
      <c r="D92">
        <v>21.155879129513448</v>
      </c>
      <c r="E92">
        <v>10.814634187683703</v>
      </c>
      <c r="F92">
        <v>16.538461477898533</v>
      </c>
      <c r="G92">
        <f t="shared" si="19"/>
        <v>14.010857297639983</v>
      </c>
      <c r="H92">
        <f t="shared" si="19"/>
        <v>14.752361412031716</v>
      </c>
      <c r="I92">
        <f t="shared" si="19"/>
        <v>16.406029733645838</v>
      </c>
      <c r="J92">
        <f t="shared" si="20"/>
        <v>6.2208019042484786</v>
      </c>
      <c r="K92">
        <f t="shared" si="20"/>
        <v>6.9687240579263854</v>
      </c>
      <c r="L92">
        <f t="shared" si="20"/>
        <v>8.1000329277288632</v>
      </c>
      <c r="M92">
        <f t="shared" si="21"/>
        <v>4.1921918920568473</v>
      </c>
      <c r="N92">
        <f t="shared" si="21"/>
        <v>4.6296050148216619</v>
      </c>
      <c r="O92">
        <f t="shared" si="21"/>
        <v>5.11639993824872</v>
      </c>
      <c r="P92">
        <f t="shared" si="22"/>
        <v>0.63081409540290034</v>
      </c>
      <c r="Q92">
        <f t="shared" si="23"/>
        <v>0.61506869629882133</v>
      </c>
      <c r="R92">
        <f t="shared" si="24"/>
        <v>0.58189309155857361</v>
      </c>
      <c r="S92">
        <f t="shared" si="25"/>
        <v>0.67236514805712577</v>
      </c>
      <c r="T92">
        <f t="shared" si="26"/>
        <v>0.63906505324459584</v>
      </c>
      <c r="U92">
        <f t="shared" si="27"/>
        <v>0.59284565317711679</v>
      </c>
      <c r="V92">
        <f t="shared" si="28"/>
        <v>0.85621525167621049</v>
      </c>
      <c r="W92">
        <f t="shared" si="29"/>
        <v>0.8395902163558866</v>
      </c>
      <c r="X92">
        <f t="shared" si="30"/>
        <v>0.82130423672962871</v>
      </c>
    </row>
    <row r="93" spans="1:24" x14ac:dyDescent="0.3">
      <c r="A93">
        <v>16.395025421044011</v>
      </c>
      <c r="B93">
        <v>4.1769951303885957</v>
      </c>
      <c r="C93">
        <v>7.6306087011458308</v>
      </c>
      <c r="D93">
        <v>21.393585636586632</v>
      </c>
      <c r="E93">
        <v>10.936146931365542</v>
      </c>
      <c r="F93">
        <v>16.724286887762563</v>
      </c>
      <c r="G93">
        <f t="shared" si="19"/>
        <v>14.010857297639983</v>
      </c>
      <c r="H93">
        <f t="shared" si="19"/>
        <v>14.752361412031716</v>
      </c>
      <c r="I93">
        <f t="shared" si="19"/>
        <v>16.406029733645838</v>
      </c>
      <c r="J93">
        <f t="shared" si="20"/>
        <v>6.2208019042484786</v>
      </c>
      <c r="K93">
        <f t="shared" si="20"/>
        <v>6.9687240579263854</v>
      </c>
      <c r="L93">
        <f t="shared" si="20"/>
        <v>8.1000329277288632</v>
      </c>
      <c r="M93">
        <f t="shared" si="21"/>
        <v>4.1921918920568473</v>
      </c>
      <c r="N93">
        <f t="shared" si="21"/>
        <v>4.6296050148216619</v>
      </c>
      <c r="O93">
        <f t="shared" si="21"/>
        <v>5.11639993824872</v>
      </c>
      <c r="P93">
        <f t="shared" si="22"/>
        <v>0.63419038187692145</v>
      </c>
      <c r="Q93">
        <f t="shared" si="23"/>
        <v>0.61850189382221199</v>
      </c>
      <c r="R93">
        <f t="shared" si="24"/>
        <v>0.58542274005448014</v>
      </c>
      <c r="S93">
        <f t="shared" si="25"/>
        <v>0.67555688096574396</v>
      </c>
      <c r="T93">
        <f t="shared" si="26"/>
        <v>0.64240865731274055</v>
      </c>
      <c r="U93">
        <f t="shared" si="27"/>
        <v>0.59634697980036777</v>
      </c>
      <c r="V93">
        <f t="shared" si="28"/>
        <v>0.85799423434549393</v>
      </c>
      <c r="W93">
        <f t="shared" si="29"/>
        <v>0.84153682435678101</v>
      </c>
      <c r="X93">
        <f t="shared" si="30"/>
        <v>0.82342608048260579</v>
      </c>
    </row>
    <row r="94" spans="1:24" x14ac:dyDescent="0.3">
      <c r="A94">
        <v>11.667064220568456</v>
      </c>
      <c r="B94">
        <v>11.179152332421037</v>
      </c>
      <c r="C94">
        <v>3.6681330141195558</v>
      </c>
      <c r="D94">
        <v>21.631292143659817</v>
      </c>
      <c r="E94">
        <v>11.057659675047381</v>
      </c>
      <c r="F94">
        <v>16.910112297626593</v>
      </c>
      <c r="G94">
        <f t="shared" si="19"/>
        <v>14.010857297639983</v>
      </c>
      <c r="H94">
        <f t="shared" si="19"/>
        <v>14.752361412031716</v>
      </c>
      <c r="I94">
        <f t="shared" si="19"/>
        <v>16.406029733645838</v>
      </c>
      <c r="J94">
        <f t="shared" si="20"/>
        <v>6.2208019042484786</v>
      </c>
      <c r="K94">
        <f t="shared" si="20"/>
        <v>6.9687240579263854</v>
      </c>
      <c r="L94">
        <f t="shared" si="20"/>
        <v>8.1000329277288632</v>
      </c>
      <c r="M94">
        <f t="shared" si="21"/>
        <v>4.1921918920568473</v>
      </c>
      <c r="N94">
        <f t="shared" si="21"/>
        <v>4.6296050148216619</v>
      </c>
      <c r="O94">
        <f t="shared" si="21"/>
        <v>5.11639993824872</v>
      </c>
      <c r="P94">
        <f t="shared" si="22"/>
        <v>0.63751644251373085</v>
      </c>
      <c r="Q94">
        <f t="shared" si="23"/>
        <v>0.62188555217316221</v>
      </c>
      <c r="R94">
        <f t="shared" si="24"/>
        <v>0.58890478370470123</v>
      </c>
      <c r="S94">
        <f t="shared" si="25"/>
        <v>0.67869737802681707</v>
      </c>
      <c r="T94">
        <f t="shared" si="26"/>
        <v>0.64570173976394429</v>
      </c>
      <c r="U94">
        <f t="shared" si="27"/>
        <v>0.59979999360950598</v>
      </c>
      <c r="V94">
        <f t="shared" si="28"/>
        <v>0.8597354576388756</v>
      </c>
      <c r="W94">
        <f t="shared" si="29"/>
        <v>0.84344302124522375</v>
      </c>
      <c r="X94">
        <f t="shared" si="30"/>
        <v>0.82550496276533181</v>
      </c>
    </row>
    <row r="95" spans="1:24" x14ac:dyDescent="0.3">
      <c r="A95">
        <v>11.735349568365413</v>
      </c>
      <c r="B95">
        <v>10.247809782604797</v>
      </c>
      <c r="C95">
        <v>3.7394671138679998</v>
      </c>
      <c r="D95">
        <v>21.868998650733001</v>
      </c>
      <c r="E95">
        <v>11.17917241872922</v>
      </c>
      <c r="F95">
        <v>17.095937707490624</v>
      </c>
      <c r="G95">
        <f t="shared" si="19"/>
        <v>14.010857297639983</v>
      </c>
      <c r="H95">
        <f t="shared" si="19"/>
        <v>14.752361412031716</v>
      </c>
      <c r="I95">
        <f t="shared" si="19"/>
        <v>16.406029733645838</v>
      </c>
      <c r="J95">
        <f t="shared" si="20"/>
        <v>6.2208019042484786</v>
      </c>
      <c r="K95">
        <f t="shared" si="20"/>
        <v>6.9687240579263854</v>
      </c>
      <c r="L95">
        <f t="shared" si="20"/>
        <v>8.1000329277288632</v>
      </c>
      <c r="M95">
        <f t="shared" si="21"/>
        <v>4.1921918920568473</v>
      </c>
      <c r="N95">
        <f t="shared" si="21"/>
        <v>4.6296050148216619</v>
      </c>
      <c r="O95">
        <f t="shared" si="21"/>
        <v>5.11639993824872</v>
      </c>
      <c r="P95">
        <f t="shared" si="22"/>
        <v>0.64079325275819887</v>
      </c>
      <c r="Q95">
        <f t="shared" si="23"/>
        <v>0.62522059641577066</v>
      </c>
      <c r="R95">
        <f t="shared" si="24"/>
        <v>0.59234003538874247</v>
      </c>
      <c r="S95">
        <f t="shared" si="25"/>
        <v>0.68178773397348424</v>
      </c>
      <c r="T95">
        <f t="shared" si="26"/>
        <v>0.64894530146086826</v>
      </c>
      <c r="U95">
        <f t="shared" si="27"/>
        <v>0.60320554523036518</v>
      </c>
      <c r="V95">
        <f t="shared" si="28"/>
        <v>0.86144004005554764</v>
      </c>
      <c r="W95">
        <f t="shared" si="29"/>
        <v>0.84530997463898949</v>
      </c>
      <c r="X95">
        <f t="shared" si="30"/>
        <v>0.82754209031882575</v>
      </c>
    </row>
    <row r="96" spans="1:24" x14ac:dyDescent="0.3">
      <c r="A96">
        <v>10.944308022307098</v>
      </c>
      <c r="B96">
        <v>6.6066636488518089</v>
      </c>
      <c r="C96">
        <v>3.6298259659214098</v>
      </c>
      <c r="D96">
        <v>22.106705157806186</v>
      </c>
      <c r="E96">
        <v>11.300685162411058</v>
      </c>
      <c r="F96">
        <v>17.281763117354654</v>
      </c>
      <c r="G96">
        <f t="shared" si="19"/>
        <v>14.010857297639983</v>
      </c>
      <c r="H96">
        <f t="shared" si="19"/>
        <v>14.752361412031716</v>
      </c>
      <c r="I96">
        <f t="shared" si="19"/>
        <v>16.406029733645838</v>
      </c>
      <c r="J96">
        <f t="shared" si="20"/>
        <v>6.2208019042484786</v>
      </c>
      <c r="K96">
        <f t="shared" si="20"/>
        <v>6.9687240579263854</v>
      </c>
      <c r="L96">
        <f t="shared" si="20"/>
        <v>8.1000329277288632</v>
      </c>
      <c r="M96">
        <f t="shared" si="21"/>
        <v>4.1921918920568473</v>
      </c>
      <c r="N96">
        <f t="shared" si="21"/>
        <v>4.6296050148216619</v>
      </c>
      <c r="O96">
        <f t="shared" si="21"/>
        <v>5.11639993824872</v>
      </c>
      <c r="P96">
        <f t="shared" si="22"/>
        <v>0.64402176640391884</v>
      </c>
      <c r="Q96">
        <f t="shared" si="23"/>
        <v>0.62850793224944868</v>
      </c>
      <c r="R96">
        <f t="shared" si="24"/>
        <v>0.59572929325824731</v>
      </c>
      <c r="S96">
        <f t="shared" si="25"/>
        <v>0.68482901578027722</v>
      </c>
      <c r="T96">
        <f t="shared" si="26"/>
        <v>0.65214032040405956</v>
      </c>
      <c r="U96">
        <f t="shared" si="27"/>
        <v>0.60656446906430428</v>
      </c>
      <c r="V96">
        <f t="shared" si="28"/>
        <v>0.86310905804762139</v>
      </c>
      <c r="W96">
        <f t="shared" si="29"/>
        <v>0.84713880946720876</v>
      </c>
      <c r="X96">
        <f t="shared" si="30"/>
        <v>0.82953862715010307</v>
      </c>
    </row>
    <row r="97" spans="1:24" x14ac:dyDescent="0.3">
      <c r="A97">
        <v>15.498643455827118</v>
      </c>
      <c r="B97">
        <v>8.4222213163754347</v>
      </c>
      <c r="C97">
        <v>1.8076766974150846</v>
      </c>
      <c r="D97">
        <v>22.34441166487937</v>
      </c>
      <c r="E97">
        <v>11.422197906092897</v>
      </c>
      <c r="F97">
        <v>17.467588527218684</v>
      </c>
      <c r="G97">
        <f t="shared" si="19"/>
        <v>14.010857297639983</v>
      </c>
      <c r="H97">
        <f t="shared" si="19"/>
        <v>14.752361412031716</v>
      </c>
      <c r="I97">
        <f t="shared" si="19"/>
        <v>16.406029733645838</v>
      </c>
      <c r="J97">
        <f t="shared" si="20"/>
        <v>6.2208019042484786</v>
      </c>
      <c r="K97">
        <f t="shared" si="20"/>
        <v>6.9687240579263854</v>
      </c>
      <c r="L97">
        <f t="shared" si="20"/>
        <v>8.1000329277288632</v>
      </c>
      <c r="M97">
        <f t="shared" si="21"/>
        <v>4.1921918920568473</v>
      </c>
      <c r="N97">
        <f t="shared" si="21"/>
        <v>4.6296050148216619</v>
      </c>
      <c r="O97">
        <f t="shared" si="21"/>
        <v>5.11639993824872</v>
      </c>
      <c r="P97">
        <f t="shared" si="22"/>
        <v>0.64720291605613423</v>
      </c>
      <c r="Q97">
        <f t="shared" si="23"/>
        <v>0.63174844637367278</v>
      </c>
      <c r="R97">
        <f t="shared" si="24"/>
        <v>0.59907334091933839</v>
      </c>
      <c r="S97">
        <f t="shared" si="25"/>
        <v>0.68782226341567043</v>
      </c>
      <c r="T97">
        <f t="shared" si="26"/>
        <v>0.65528775224906977</v>
      </c>
      <c r="U97">
        <f t="shared" si="27"/>
        <v>0.6098775835269612</v>
      </c>
      <c r="V97">
        <f t="shared" si="28"/>
        <v>0.86474354791800123</v>
      </c>
      <c r="W97">
        <f t="shared" si="29"/>
        <v>0.8489306098378433</v>
      </c>
      <c r="X97">
        <f t="shared" si="30"/>
        <v>0.83149569633481146</v>
      </c>
    </row>
    <row r="98" spans="1:24" x14ac:dyDescent="0.3">
      <c r="A98">
        <v>14.741375457739462</v>
      </c>
      <c r="B98">
        <v>8.1371605842734773</v>
      </c>
      <c r="C98">
        <v>8.7595212853975788</v>
      </c>
      <c r="D98">
        <v>22.582118171952555</v>
      </c>
      <c r="E98">
        <v>11.543710649774736</v>
      </c>
      <c r="F98">
        <v>17.653413937082714</v>
      </c>
      <c r="G98">
        <f t="shared" si="19"/>
        <v>14.010857297639983</v>
      </c>
      <c r="H98">
        <f t="shared" si="19"/>
        <v>14.752361412031716</v>
      </c>
      <c r="I98">
        <f t="shared" si="19"/>
        <v>16.406029733645838</v>
      </c>
      <c r="J98">
        <f t="shared" si="20"/>
        <v>6.2208019042484786</v>
      </c>
      <c r="K98">
        <f t="shared" si="20"/>
        <v>6.9687240579263854</v>
      </c>
      <c r="L98">
        <f t="shared" si="20"/>
        <v>8.1000329277288632</v>
      </c>
      <c r="M98">
        <f t="shared" si="21"/>
        <v>4.1921918920568473</v>
      </c>
      <c r="N98">
        <f t="shared" si="21"/>
        <v>4.6296050148216619</v>
      </c>
      <c r="O98">
        <f t="shared" si="21"/>
        <v>5.11639993824872</v>
      </c>
      <c r="P98">
        <f t="shared" si="22"/>
        <v>0.65033761359040598</v>
      </c>
      <c r="Q98">
        <f t="shared" si="23"/>
        <v>0.63494300685260474</v>
      </c>
      <c r="R98">
        <f t="shared" si="24"/>
        <v>0.60237294762168037</v>
      </c>
      <c r="S98">
        <f t="shared" si="25"/>
        <v>0.69076849057672118</v>
      </c>
      <c r="T98">
        <f t="shared" si="26"/>
        <v>0.6583885308169255</v>
      </c>
      <c r="U98">
        <f t="shared" si="27"/>
        <v>0.61314569129173291</v>
      </c>
      <c r="V98">
        <f t="shared" si="28"/>
        <v>0.86634450761913162</v>
      </c>
      <c r="W98">
        <f t="shared" si="29"/>
        <v>0.85068642081103607</v>
      </c>
      <c r="X98">
        <f t="shared" si="30"/>
        <v>0.8334143817327816</v>
      </c>
    </row>
    <row r="99" spans="1:24" x14ac:dyDescent="0.3">
      <c r="A99">
        <v>19.593371907423276</v>
      </c>
      <c r="B99">
        <v>14.032756299810508</v>
      </c>
      <c r="C99">
        <v>4.6340434244269524</v>
      </c>
      <c r="D99">
        <v>22.819824679025739</v>
      </c>
      <c r="E99">
        <v>11.665223393456575</v>
      </c>
      <c r="F99">
        <v>17.839239346946744</v>
      </c>
      <c r="G99">
        <f t="shared" si="19"/>
        <v>14.010857297639983</v>
      </c>
      <c r="H99">
        <f t="shared" si="19"/>
        <v>14.752361412031716</v>
      </c>
      <c r="I99">
        <f t="shared" si="19"/>
        <v>16.406029733645838</v>
      </c>
      <c r="J99">
        <f t="shared" si="20"/>
        <v>6.2208019042484786</v>
      </c>
      <c r="K99">
        <f t="shared" si="20"/>
        <v>6.9687240579263854</v>
      </c>
      <c r="L99">
        <f t="shared" si="20"/>
        <v>8.1000329277288632</v>
      </c>
      <c r="M99">
        <f t="shared" si="21"/>
        <v>4.1921918920568473</v>
      </c>
      <c r="N99">
        <f t="shared" si="21"/>
        <v>4.6296050148216619</v>
      </c>
      <c r="O99">
        <f t="shared" si="21"/>
        <v>5.11639993824872</v>
      </c>
      <c r="P99">
        <f t="shared" si="22"/>
        <v>0.65342675060641953</v>
      </c>
      <c r="Q99">
        <f t="shared" si="23"/>
        <v>0.63809246347881543</v>
      </c>
      <c r="R99">
        <f t="shared" si="24"/>
        <v>0.60562886845328001</v>
      </c>
      <c r="S99">
        <f t="shared" si="25"/>
        <v>0.69366868540582205</v>
      </c>
      <c r="T99">
        <f t="shared" si="26"/>
        <v>0.6614435685974448</v>
      </c>
      <c r="U99">
        <f t="shared" si="27"/>
        <v>0.61636957953705851</v>
      </c>
      <c r="V99">
        <f t="shared" si="28"/>
        <v>0.86791289845844777</v>
      </c>
      <c r="W99">
        <f t="shared" si="29"/>
        <v>0.85240725008365004</v>
      </c>
      <c r="X99">
        <f t="shared" si="30"/>
        <v>0.83529572962116305</v>
      </c>
    </row>
    <row r="100" spans="1:24" x14ac:dyDescent="0.3">
      <c r="A100">
        <v>16.930643982054395</v>
      </c>
      <c r="B100">
        <v>9.655238657443693</v>
      </c>
      <c r="C100">
        <v>6.1241455867375985</v>
      </c>
      <c r="D100">
        <v>23.057531186098924</v>
      </c>
      <c r="E100">
        <v>11.786736137138414</v>
      </c>
      <c r="F100">
        <v>18.025064756810774</v>
      </c>
      <c r="G100">
        <f t="shared" ref="G100:I131" si="31">PERCENTILE($A$3:$A$106, G$1)</f>
        <v>14.010857297639983</v>
      </c>
      <c r="H100">
        <f t="shared" si="31"/>
        <v>14.752361412031716</v>
      </c>
      <c r="I100">
        <f t="shared" si="31"/>
        <v>16.406029733645838</v>
      </c>
      <c r="J100">
        <f t="shared" ref="J100:L131" si="32">PERCENTILE($B$3:$B$106, J$1)</f>
        <v>6.2208019042484786</v>
      </c>
      <c r="K100">
        <f t="shared" si="32"/>
        <v>6.9687240579263854</v>
      </c>
      <c r="L100">
        <f t="shared" si="32"/>
        <v>8.1000329277288632</v>
      </c>
      <c r="M100">
        <f t="shared" ref="M100:O131" si="33">PERCENTILE($C$3:$C$106, M$1)</f>
        <v>4.1921918920568473</v>
      </c>
      <c r="N100">
        <f t="shared" si="33"/>
        <v>4.6296050148216619</v>
      </c>
      <c r="O100">
        <f t="shared" si="33"/>
        <v>5.11639993824872</v>
      </c>
      <c r="P100">
        <f t="shared" si="22"/>
        <v>0.65647119887640681</v>
      </c>
      <c r="Q100">
        <f t="shared" si="23"/>
        <v>0.64119764813543523</v>
      </c>
      <c r="R100">
        <f t="shared" si="24"/>
        <v>0.60884184454013579</v>
      </c>
      <c r="S100">
        <f t="shared" si="25"/>
        <v>0.69652381118964524</v>
      </c>
      <c r="T100">
        <f t="shared" si="26"/>
        <v>0.66445375724497135</v>
      </c>
      <c r="U100">
        <f t="shared" si="27"/>
        <v>0.61955002019666294</v>
      </c>
      <c r="V100">
        <f t="shared" si="28"/>
        <v>0.86944964671598313</v>
      </c>
      <c r="W100">
        <f t="shared" si="29"/>
        <v>0.85409406958997613</v>
      </c>
      <c r="X100">
        <f t="shared" si="30"/>
        <v>0.83714075024954537</v>
      </c>
    </row>
    <row r="101" spans="1:24" x14ac:dyDescent="0.3">
      <c r="A101">
        <v>21.385775956178637</v>
      </c>
      <c r="B101">
        <v>6.1038934112178769</v>
      </c>
      <c r="C101">
        <v>4.6118513764004998</v>
      </c>
      <c r="D101">
        <v>23.295237693172108</v>
      </c>
      <c r="E101">
        <v>11.908248880820253</v>
      </c>
      <c r="F101">
        <v>18.210890166674805</v>
      </c>
      <c r="G101">
        <f t="shared" si="31"/>
        <v>14.010857297639983</v>
      </c>
      <c r="H101">
        <f t="shared" si="31"/>
        <v>14.752361412031716</v>
      </c>
      <c r="I101">
        <f t="shared" si="31"/>
        <v>16.406029733645838</v>
      </c>
      <c r="J101">
        <f t="shared" si="32"/>
        <v>6.2208019042484786</v>
      </c>
      <c r="K101">
        <f t="shared" si="32"/>
        <v>6.9687240579263854</v>
      </c>
      <c r="L101">
        <f t="shared" si="32"/>
        <v>8.1000329277288632</v>
      </c>
      <c r="M101">
        <f t="shared" si="33"/>
        <v>4.1921918920568473</v>
      </c>
      <c r="N101">
        <f t="shared" si="33"/>
        <v>4.6296050148216619</v>
      </c>
      <c r="O101">
        <f t="shared" si="33"/>
        <v>5.11639993824872</v>
      </c>
      <c r="P101">
        <f t="shared" si="22"/>
        <v>0.65947181078772965</v>
      </c>
      <c r="Q101">
        <f t="shared" si="23"/>
        <v>0.64425937515612464</v>
      </c>
      <c r="R101">
        <f t="shared" si="24"/>
        <v>0.61201260324991535</v>
      </c>
      <c r="S101">
        <f t="shared" si="25"/>
        <v>0.69933480704040918</v>
      </c>
      <c r="T101">
        <f t="shared" si="26"/>
        <v>0.6674199680661701</v>
      </c>
      <c r="U101">
        <f t="shared" si="27"/>
        <v>0.62268777021200439</v>
      </c>
      <c r="V101">
        <f t="shared" si="28"/>
        <v>0.87095564517923507</v>
      </c>
      <c r="W101">
        <f t="shared" si="29"/>
        <v>0.85574781702329217</v>
      </c>
      <c r="X101">
        <f t="shared" si="30"/>
        <v>0.83895041932121084</v>
      </c>
    </row>
    <row r="102" spans="1:24" x14ac:dyDescent="0.3">
      <c r="A102">
        <v>15.361808133308102</v>
      </c>
      <c r="B102">
        <v>4.0127217366987082</v>
      </c>
      <c r="C102">
        <v>3.2502052236417249</v>
      </c>
      <c r="D102">
        <v>23.532944200245293</v>
      </c>
      <c r="E102">
        <v>12.029761624502092</v>
      </c>
      <c r="F102">
        <v>18.396715576538835</v>
      </c>
      <c r="G102">
        <f t="shared" si="31"/>
        <v>14.010857297639983</v>
      </c>
      <c r="H102">
        <f t="shared" si="31"/>
        <v>14.752361412031716</v>
      </c>
      <c r="I102">
        <f t="shared" si="31"/>
        <v>16.406029733645838</v>
      </c>
      <c r="J102">
        <f t="shared" si="32"/>
        <v>6.2208019042484786</v>
      </c>
      <c r="K102">
        <f t="shared" si="32"/>
        <v>6.9687240579263854</v>
      </c>
      <c r="L102">
        <f t="shared" si="32"/>
        <v>8.1000329277288632</v>
      </c>
      <c r="M102">
        <f t="shared" si="33"/>
        <v>4.1921918920568473</v>
      </c>
      <c r="N102">
        <f t="shared" si="33"/>
        <v>4.6296050148216619</v>
      </c>
      <c r="O102">
        <f t="shared" si="33"/>
        <v>5.11639993824872</v>
      </c>
      <c r="P102">
        <f t="shared" si="22"/>
        <v>0.66242941977923753</v>
      </c>
      <c r="Q102">
        <f t="shared" si="23"/>
        <v>0.64727844168233173</v>
      </c>
      <c r="R102">
        <f t="shared" si="24"/>
        <v>0.61514185839892266</v>
      </c>
      <c r="S102">
        <f t="shared" si="25"/>
        <v>0.70210258855962537</v>
      </c>
      <c r="T102">
        <f t="shared" si="26"/>
        <v>0.67034305249958592</v>
      </c>
      <c r="U102">
        <f t="shared" si="27"/>
        <v>0.62578357178623545</v>
      </c>
      <c r="V102">
        <f t="shared" si="28"/>
        <v>0.87243175460006317</v>
      </c>
      <c r="W102">
        <f t="shared" si="29"/>
        <v>0.85736939728266248</v>
      </c>
      <c r="X102">
        <f t="shared" si="30"/>
        <v>0.84072567940442533</v>
      </c>
    </row>
    <row r="103" spans="1:24" x14ac:dyDescent="0.3">
      <c r="A103">
        <v>15.255612877234432</v>
      </c>
      <c r="B103">
        <v>4.2372351026487145</v>
      </c>
      <c r="C103">
        <v>3.7803280271517066</v>
      </c>
      <c r="D103">
        <v>23.770650707318477</v>
      </c>
      <c r="E103">
        <v>12.15127436818393</v>
      </c>
      <c r="F103">
        <v>18.582540986402865</v>
      </c>
      <c r="G103">
        <f t="shared" si="31"/>
        <v>14.010857297639983</v>
      </c>
      <c r="H103">
        <f t="shared" si="31"/>
        <v>14.752361412031716</v>
      </c>
      <c r="I103">
        <f t="shared" si="31"/>
        <v>16.406029733645838</v>
      </c>
      <c r="J103">
        <f t="shared" si="32"/>
        <v>6.2208019042484786</v>
      </c>
      <c r="K103">
        <f t="shared" si="32"/>
        <v>6.9687240579263854</v>
      </c>
      <c r="L103">
        <f t="shared" si="32"/>
        <v>8.1000329277288632</v>
      </c>
      <c r="M103">
        <f t="shared" si="33"/>
        <v>4.1921918920568473</v>
      </c>
      <c r="N103">
        <f t="shared" si="33"/>
        <v>4.6296050148216619</v>
      </c>
      <c r="O103">
        <f t="shared" si="33"/>
        <v>5.11639993824872</v>
      </c>
      <c r="P103">
        <f t="shared" si="22"/>
        <v>0.66534484077107159</v>
      </c>
      <c r="Q103">
        <f t="shared" si="23"/>
        <v>0.65025562801736503</v>
      </c>
      <c r="R103">
        <f t="shared" si="24"/>
        <v>0.61823031046167509</v>
      </c>
      <c r="S103">
        <f t="shared" si="25"/>
        <v>0.70482804848453484</v>
      </c>
      <c r="T103">
        <f t="shared" si="26"/>
        <v>0.67322384258671952</v>
      </c>
      <c r="U103">
        <f t="shared" si="27"/>
        <v>0.62883815263905352</v>
      </c>
      <c r="V103">
        <f t="shared" si="28"/>
        <v>0.87387880507808968</v>
      </c>
      <c r="W103">
        <f t="shared" si="29"/>
        <v>0.85895968384910359</v>
      </c>
      <c r="X103">
        <f t="shared" si="30"/>
        <v>0.84246744127745232</v>
      </c>
    </row>
    <row r="104" spans="1:24" x14ac:dyDescent="0.3">
      <c r="A104">
        <v>12.170142598170198</v>
      </c>
      <c r="B104">
        <v>6.6296784633467869</v>
      </c>
      <c r="C104">
        <v>3.9124808790902481</v>
      </c>
      <c r="D104">
        <v>24.008357214391662</v>
      </c>
      <c r="E104">
        <v>12.272787111865769</v>
      </c>
      <c r="F104">
        <v>18.768366396266895</v>
      </c>
      <c r="G104">
        <f t="shared" si="31"/>
        <v>14.010857297639983</v>
      </c>
      <c r="H104">
        <f t="shared" si="31"/>
        <v>14.752361412031716</v>
      </c>
      <c r="I104">
        <f t="shared" si="31"/>
        <v>16.406029733645838</v>
      </c>
      <c r="J104">
        <f t="shared" si="32"/>
        <v>6.2208019042484786</v>
      </c>
      <c r="K104">
        <f t="shared" si="32"/>
        <v>6.9687240579263854</v>
      </c>
      <c r="L104">
        <f t="shared" si="32"/>
        <v>8.1000329277288632</v>
      </c>
      <c r="M104">
        <f t="shared" si="33"/>
        <v>4.1921918920568473</v>
      </c>
      <c r="N104">
        <f t="shared" si="33"/>
        <v>4.6296050148216619</v>
      </c>
      <c r="O104">
        <f t="shared" si="33"/>
        <v>5.11639993824872</v>
      </c>
      <c r="P104">
        <f t="shared" si="22"/>
        <v>0.66821887058763596</v>
      </c>
      <c r="Q104">
        <f t="shared" si="23"/>
        <v>0.65319169797686794</v>
      </c>
      <c r="R104">
        <f t="shared" si="24"/>
        <v>0.62127864678247535</v>
      </c>
      <c r="S104">
        <f t="shared" si="25"/>
        <v>0.70751205731745692</v>
      </c>
      <c r="T104">
        <f t="shared" si="26"/>
        <v>0.67606315143443518</v>
      </c>
      <c r="U104">
        <f t="shared" si="27"/>
        <v>0.63185222626188597</v>
      </c>
      <c r="V104">
        <f t="shared" si="28"/>
        <v>0.87529759737478974</v>
      </c>
      <c r="W104">
        <f t="shared" si="29"/>
        <v>0.86051952009499244</v>
      </c>
      <c r="X104">
        <f t="shared" si="30"/>
        <v>0.84417658521076266</v>
      </c>
    </row>
    <row r="105" spans="1:24" x14ac:dyDescent="0.3">
      <c r="A105">
        <v>11.110904453857469</v>
      </c>
      <c r="B105">
        <v>16.156766987998392</v>
      </c>
      <c r="C105">
        <v>3.9107667546993214</v>
      </c>
      <c r="D105">
        <v>24.246063721464846</v>
      </c>
      <c r="E105">
        <v>12.394299855547608</v>
      </c>
      <c r="F105">
        <v>18.954191806130925</v>
      </c>
      <c r="G105">
        <f t="shared" si="31"/>
        <v>14.010857297639983</v>
      </c>
      <c r="H105">
        <f t="shared" si="31"/>
        <v>14.752361412031716</v>
      </c>
      <c r="I105">
        <f t="shared" si="31"/>
        <v>16.406029733645838</v>
      </c>
      <c r="J105">
        <f t="shared" si="32"/>
        <v>6.2208019042484786</v>
      </c>
      <c r="K105">
        <f t="shared" si="32"/>
        <v>6.9687240579263854</v>
      </c>
      <c r="L105">
        <f t="shared" si="32"/>
        <v>8.1000329277288632</v>
      </c>
      <c r="M105">
        <f t="shared" si="33"/>
        <v>4.1921918920568473</v>
      </c>
      <c r="N105">
        <f t="shared" si="33"/>
        <v>4.6296050148216619</v>
      </c>
      <c r="O105">
        <f t="shared" si="33"/>
        <v>5.11639993824872</v>
      </c>
      <c r="P105">
        <f t="shared" si="22"/>
        <v>0.67105228837350528</v>
      </c>
      <c r="Q105">
        <f t="shared" si="23"/>
        <v>0.65608739923532922</v>
      </c>
      <c r="R105">
        <f t="shared" si="24"/>
        <v>0.62428754178841783</v>
      </c>
      <c r="S105">
        <f t="shared" si="25"/>
        <v>0.71015546393830598</v>
      </c>
      <c r="T105">
        <f t="shared" si="26"/>
        <v>0.67886177366853839</v>
      </c>
      <c r="U105">
        <f t="shared" si="27"/>
        <v>0.63482649217289122</v>
      </c>
      <c r="V105">
        <f t="shared" si="28"/>
        <v>0.87668890416219447</v>
      </c>
      <c r="W105">
        <f t="shared" si="29"/>
        <v>0.86204972053035678</v>
      </c>
      <c r="X105">
        <f t="shared" si="30"/>
        <v>0.84585396218971609</v>
      </c>
    </row>
    <row r="106" spans="1:24" x14ac:dyDescent="0.3">
      <c r="A106">
        <v>11.132995138369061</v>
      </c>
      <c r="B106">
        <v>10.023218818362515</v>
      </c>
      <c r="C106">
        <v>5.4349851379148646</v>
      </c>
      <c r="D106">
        <v>24.483770228538031</v>
      </c>
      <c r="E106">
        <v>12.515812599229447</v>
      </c>
      <c r="F106">
        <v>19.140017215994956</v>
      </c>
      <c r="G106">
        <f t="shared" si="31"/>
        <v>14.010857297639983</v>
      </c>
      <c r="H106">
        <f t="shared" si="31"/>
        <v>14.752361412031716</v>
      </c>
      <c r="I106">
        <f t="shared" si="31"/>
        <v>16.406029733645838</v>
      </c>
      <c r="J106">
        <f t="shared" si="32"/>
        <v>6.2208019042484786</v>
      </c>
      <c r="K106">
        <f t="shared" si="32"/>
        <v>6.9687240579263854</v>
      </c>
      <c r="L106">
        <f t="shared" si="32"/>
        <v>8.1000329277288632</v>
      </c>
      <c r="M106">
        <f t="shared" si="33"/>
        <v>4.1921918920568473</v>
      </c>
      <c r="N106">
        <f t="shared" si="33"/>
        <v>4.6296050148216619</v>
      </c>
      <c r="O106">
        <f t="shared" si="33"/>
        <v>5.11639993824872</v>
      </c>
      <c r="P106">
        <f t="shared" si="22"/>
        <v>0.67384585600208602</v>
      </c>
      <c r="Q106">
        <f t="shared" si="23"/>
        <v>0.65894346366831824</v>
      </c>
      <c r="R106">
        <f t="shared" si="24"/>
        <v>0.62725765720332305</v>
      </c>
      <c r="S106">
        <f t="shared" si="25"/>
        <v>0.71275909620055578</v>
      </c>
      <c r="T106">
        <f t="shared" si="26"/>
        <v>0.68162048587842794</v>
      </c>
      <c r="U106">
        <f t="shared" si="27"/>
        <v>0.63776163617133508</v>
      </c>
      <c r="V106">
        <f t="shared" si="28"/>
        <v>0.87805347120988397</v>
      </c>
      <c r="W106">
        <f t="shared" si="29"/>
        <v>0.86355107198947267</v>
      </c>
      <c r="X106">
        <f t="shared" si="30"/>
        <v>0.84750039508080277</v>
      </c>
    </row>
    <row r="107" spans="1:24" x14ac:dyDescent="0.3">
      <c r="D107">
        <v>24.721476735611216</v>
      </c>
      <c r="E107">
        <v>12.637325342911286</v>
      </c>
      <c r="F107">
        <v>19.325842625858986</v>
      </c>
      <c r="G107">
        <f t="shared" si="31"/>
        <v>14.010857297639983</v>
      </c>
      <c r="H107">
        <f t="shared" si="31"/>
        <v>14.752361412031716</v>
      </c>
      <c r="I107">
        <f t="shared" si="31"/>
        <v>16.406029733645838</v>
      </c>
      <c r="J107">
        <f t="shared" si="32"/>
        <v>6.2208019042484786</v>
      </c>
      <c r="K107">
        <f t="shared" si="32"/>
        <v>6.9687240579263854</v>
      </c>
      <c r="L107">
        <f t="shared" si="32"/>
        <v>8.1000329277288632</v>
      </c>
      <c r="M107">
        <f t="shared" si="33"/>
        <v>4.1921918920568473</v>
      </c>
      <c r="N107">
        <f t="shared" si="33"/>
        <v>4.6296050148216619</v>
      </c>
      <c r="O107">
        <f t="shared" si="33"/>
        <v>5.11639993824872</v>
      </c>
      <c r="P107">
        <f t="shared" si="22"/>
        <v>0.67660031847687796</v>
      </c>
      <c r="Q107">
        <f t="shared" si="23"/>
        <v>0.66176060769016931</v>
      </c>
      <c r="R107">
        <f t="shared" si="24"/>
        <v>0.6301896422621367</v>
      </c>
      <c r="S107">
        <f t="shared" si="25"/>
        <v>0.71532376151093613</v>
      </c>
      <c r="T107">
        <f t="shared" si="26"/>
        <v>0.68434004705273621</v>
      </c>
      <c r="U107">
        <f t="shared" si="27"/>
        <v>0.64065833059092159</v>
      </c>
      <c r="V107">
        <f t="shared" si="28"/>
        <v>0.87939201851371929</v>
      </c>
      <c r="W107">
        <f t="shared" si="29"/>
        <v>0.86502433476098717</v>
      </c>
      <c r="X107">
        <f t="shared" si="30"/>
        <v>0.84911667974436056</v>
      </c>
    </row>
    <row r="108" spans="1:24" x14ac:dyDescent="0.3">
      <c r="D108">
        <v>24.9591832426844</v>
      </c>
      <c r="E108">
        <v>12.758838086593125</v>
      </c>
      <c r="F108">
        <v>19.511668035723016</v>
      </c>
      <c r="G108">
        <f t="shared" si="31"/>
        <v>14.010857297639983</v>
      </c>
      <c r="H108">
        <f t="shared" si="31"/>
        <v>14.752361412031716</v>
      </c>
      <c r="I108">
        <f t="shared" si="31"/>
        <v>16.406029733645838</v>
      </c>
      <c r="J108">
        <f t="shared" si="32"/>
        <v>6.2208019042484786</v>
      </c>
      <c r="K108">
        <f t="shared" si="32"/>
        <v>6.9687240579263854</v>
      </c>
      <c r="L108">
        <f t="shared" si="32"/>
        <v>8.1000329277288632</v>
      </c>
      <c r="M108">
        <f t="shared" si="33"/>
        <v>4.1921918920568473</v>
      </c>
      <c r="N108">
        <f t="shared" si="33"/>
        <v>4.6296050148216619</v>
      </c>
      <c r="O108">
        <f t="shared" si="33"/>
        <v>5.11639993824872</v>
      </c>
      <c r="P108">
        <f t="shared" si="22"/>
        <v>0.67931640432522422</v>
      </c>
      <c r="Q108">
        <f t="shared" si="23"/>
        <v>0.66453953258688414</v>
      </c>
      <c r="R108">
        <f t="shared" si="24"/>
        <v>0.6330841339253811</v>
      </c>
      <c r="S108">
        <f t="shared" si="25"/>
        <v>0.71785024739317749</v>
      </c>
      <c r="T108">
        <f t="shared" si="26"/>
        <v>0.68702119900592096</v>
      </c>
      <c r="U108">
        <f t="shared" si="27"/>
        <v>0.64351723455171894</v>
      </c>
      <c r="V108">
        <f t="shared" si="28"/>
        <v>0.88070524136954886</v>
      </c>
      <c r="W108">
        <f t="shared" si="29"/>
        <v>0.86647024366459502</v>
      </c>
      <c r="X108">
        <f t="shared" si="30"/>
        <v>0.85070358609651942</v>
      </c>
    </row>
    <row r="109" spans="1:24" x14ac:dyDescent="0.3">
      <c r="D109">
        <v>25.196889749757585</v>
      </c>
      <c r="E109">
        <v>12.880350830274963</v>
      </c>
      <c r="F109">
        <v>19.697493445587046</v>
      </c>
      <c r="G109">
        <f t="shared" si="31"/>
        <v>14.010857297639983</v>
      </c>
      <c r="H109">
        <f t="shared" si="31"/>
        <v>14.752361412031716</v>
      </c>
      <c r="I109">
        <f t="shared" si="31"/>
        <v>16.406029733645838</v>
      </c>
      <c r="J109">
        <f t="shared" si="32"/>
        <v>6.2208019042484786</v>
      </c>
      <c r="K109">
        <f t="shared" si="32"/>
        <v>6.9687240579263854</v>
      </c>
      <c r="L109">
        <f t="shared" si="32"/>
        <v>8.1000329277288632</v>
      </c>
      <c r="M109">
        <f t="shared" si="33"/>
        <v>4.1921918920568473</v>
      </c>
      <c r="N109">
        <f t="shared" si="33"/>
        <v>4.6296050148216619</v>
      </c>
      <c r="O109">
        <f t="shared" si="33"/>
        <v>5.11639993824872</v>
      </c>
      <c r="P109">
        <f t="shared" si="22"/>
        <v>0.68199482598446548</v>
      </c>
      <c r="Q109">
        <f t="shared" si="23"/>
        <v>0.66728092484405177</v>
      </c>
      <c r="R109">
        <f t="shared" si="24"/>
        <v>0.63594175709327794</v>
      </c>
      <c r="S109">
        <f t="shared" si="25"/>
        <v>0.72033932203611417</v>
      </c>
      <c r="T109">
        <f t="shared" si="26"/>
        <v>0.68966466679579064</v>
      </c>
      <c r="U109">
        <f t="shared" si="27"/>
        <v>0.64633899421035224</v>
      </c>
      <c r="V109">
        <f t="shared" si="28"/>
        <v>0.88199381139492294</v>
      </c>
      <c r="W109">
        <f t="shared" si="29"/>
        <v>0.86788950907711604</v>
      </c>
      <c r="X109">
        <f t="shared" si="30"/>
        <v>0.85226185912296548</v>
      </c>
    </row>
    <row r="110" spans="1:24" x14ac:dyDescent="0.3">
      <c r="D110">
        <v>25.434596256830769</v>
      </c>
      <c r="E110">
        <v>13.001863573956802</v>
      </c>
      <c r="F110">
        <v>19.883318855451076</v>
      </c>
      <c r="G110">
        <f t="shared" si="31"/>
        <v>14.010857297639983</v>
      </c>
      <c r="H110">
        <f t="shared" si="31"/>
        <v>14.752361412031716</v>
      </c>
      <c r="I110">
        <f t="shared" si="31"/>
        <v>16.406029733645838</v>
      </c>
      <c r="J110">
        <f t="shared" si="32"/>
        <v>6.2208019042484786</v>
      </c>
      <c r="K110">
        <f t="shared" si="32"/>
        <v>6.9687240579263854</v>
      </c>
      <c r="L110">
        <f t="shared" si="32"/>
        <v>8.1000329277288632</v>
      </c>
      <c r="M110">
        <f t="shared" si="33"/>
        <v>4.1921918920568473</v>
      </c>
      <c r="N110">
        <f t="shared" si="33"/>
        <v>4.6296050148216619</v>
      </c>
      <c r="O110">
        <f t="shared" si="33"/>
        <v>5.11639993824872</v>
      </c>
      <c r="P110">
        <f t="shared" si="22"/>
        <v>0.68463628018044198</v>
      </c>
      <c r="Q110">
        <f t="shared" si="23"/>
        <v>0.66998545646962127</v>
      </c>
      <c r="R110">
        <f t="shared" si="24"/>
        <v>0.63876312481920461</v>
      </c>
      <c r="S110">
        <f t="shared" si="25"/>
        <v>0.72279173482647929</v>
      </c>
      <c r="T110">
        <f t="shared" si="26"/>
        <v>0.69227115913197412</v>
      </c>
      <c r="U110">
        <f t="shared" si="27"/>
        <v>0.64912424300817029</v>
      </c>
      <c r="V110">
        <f t="shared" si="28"/>
        <v>0.88325837750166991</v>
      </c>
      <c r="W110">
        <f t="shared" si="29"/>
        <v>0.86928281791065787</v>
      </c>
      <c r="X110">
        <f t="shared" si="30"/>
        <v>0.85379221984698039</v>
      </c>
    </row>
    <row r="111" spans="1:24" x14ac:dyDescent="0.3">
      <c r="D111">
        <v>25.672302763903954</v>
      </c>
      <c r="E111">
        <v>13.123376317638641</v>
      </c>
      <c r="F111">
        <v>20.069144265315106</v>
      </c>
      <c r="G111">
        <f t="shared" si="31"/>
        <v>14.010857297639983</v>
      </c>
      <c r="H111">
        <f t="shared" si="31"/>
        <v>14.752361412031716</v>
      </c>
      <c r="I111">
        <f t="shared" si="31"/>
        <v>16.406029733645838</v>
      </c>
      <c r="J111">
        <f t="shared" si="32"/>
        <v>6.2208019042484786</v>
      </c>
      <c r="K111">
        <f t="shared" si="32"/>
        <v>6.9687240579263854</v>
      </c>
      <c r="L111">
        <f t="shared" si="32"/>
        <v>8.1000329277288632</v>
      </c>
      <c r="M111">
        <f t="shared" si="33"/>
        <v>4.1921918920568473</v>
      </c>
      <c r="N111">
        <f t="shared" si="33"/>
        <v>4.6296050148216619</v>
      </c>
      <c r="O111">
        <f t="shared" si="33"/>
        <v>5.11639993824872</v>
      </c>
      <c r="P111">
        <f t="shared" si="22"/>
        <v>0.68724144829831291</v>
      </c>
      <c r="Q111">
        <f t="shared" si="23"/>
        <v>0.67265378531138886</v>
      </c>
      <c r="R111">
        <f t="shared" si="24"/>
        <v>0.64154883852218036</v>
      </c>
      <c r="S111">
        <f t="shared" si="25"/>
        <v>0.7252082168667211</v>
      </c>
      <c r="T111">
        <f t="shared" si="26"/>
        <v>0.69484136877536407</v>
      </c>
      <c r="U111">
        <f t="shared" si="27"/>
        <v>0.65187360191713128</v>
      </c>
      <c r="V111">
        <f t="shared" si="28"/>
        <v>0.88449956682200892</v>
      </c>
      <c r="W111">
        <f t="shared" si="29"/>
        <v>0.87065083454538639</v>
      </c>
      <c r="X111">
        <f t="shared" si="30"/>
        <v>0.85529536625406788</v>
      </c>
    </row>
    <row r="112" spans="1:24" x14ac:dyDescent="0.3">
      <c r="D112">
        <v>25.910009270977138</v>
      </c>
      <c r="E112">
        <v>13.24488906132048</v>
      </c>
      <c r="F112">
        <v>20.254969675179137</v>
      </c>
      <c r="G112">
        <f t="shared" si="31"/>
        <v>14.010857297639983</v>
      </c>
      <c r="H112">
        <f t="shared" si="31"/>
        <v>14.752361412031716</v>
      </c>
      <c r="I112">
        <f t="shared" si="31"/>
        <v>16.406029733645838</v>
      </c>
      <c r="J112">
        <f t="shared" si="32"/>
        <v>6.2208019042484786</v>
      </c>
      <c r="K112">
        <f t="shared" si="32"/>
        <v>6.9687240579263854</v>
      </c>
      <c r="L112">
        <f t="shared" si="32"/>
        <v>8.1000329277288632</v>
      </c>
      <c r="M112">
        <f t="shared" si="33"/>
        <v>4.1921918920568473</v>
      </c>
      <c r="N112">
        <f t="shared" si="33"/>
        <v>4.6296050148216619</v>
      </c>
      <c r="O112">
        <f t="shared" si="33"/>
        <v>5.11639993824872</v>
      </c>
      <c r="P112">
        <f t="shared" si="22"/>
        <v>0.68981099674568236</v>
      </c>
      <c r="Q112">
        <f t="shared" si="23"/>
        <v>0.6752865553690881</v>
      </c>
      <c r="R112">
        <f t="shared" si="24"/>
        <v>0.64429948819810423</v>
      </c>
      <c r="S112">
        <f t="shared" si="25"/>
        <v>0.72758948147818336</v>
      </c>
      <c r="T112">
        <f t="shared" si="26"/>
        <v>0.69737597292858811</v>
      </c>
      <c r="U112">
        <f t="shared" si="27"/>
        <v>0.65458767968317744</v>
      </c>
      <c r="V112">
        <f t="shared" si="28"/>
        <v>0.8857179855907138</v>
      </c>
      <c r="W112">
        <f t="shared" si="29"/>
        <v>0.87199420171928221</v>
      </c>
      <c r="X112">
        <f t="shared" si="30"/>
        <v>0.85677197417535189</v>
      </c>
    </row>
    <row r="113" spans="4:24" x14ac:dyDescent="0.3">
      <c r="D113">
        <v>26.147715778050323</v>
      </c>
      <c r="E113">
        <v>13.366401805002319</v>
      </c>
      <c r="F113">
        <v>20.440795085043167</v>
      </c>
      <c r="G113">
        <f t="shared" si="31"/>
        <v>14.010857297639983</v>
      </c>
      <c r="H113">
        <f t="shared" si="31"/>
        <v>14.752361412031716</v>
      </c>
      <c r="I113">
        <f t="shared" si="31"/>
        <v>16.406029733645838</v>
      </c>
      <c r="J113">
        <f t="shared" si="32"/>
        <v>6.2208019042484786</v>
      </c>
      <c r="K113">
        <f t="shared" si="32"/>
        <v>6.9687240579263854</v>
      </c>
      <c r="L113">
        <f t="shared" si="32"/>
        <v>8.1000329277288632</v>
      </c>
      <c r="M113">
        <f t="shared" si="33"/>
        <v>4.1921918920568473</v>
      </c>
      <c r="N113">
        <f t="shared" si="33"/>
        <v>4.6296050148216619</v>
      </c>
      <c r="O113">
        <f t="shared" si="33"/>
        <v>5.11639993824872</v>
      </c>
      <c r="P113">
        <f t="shared" si="22"/>
        <v>0.69234557730804391</v>
      </c>
      <c r="Q113">
        <f t="shared" si="23"/>
        <v>0.67788439710099568</v>
      </c>
      <c r="R113">
        <f t="shared" si="24"/>
        <v>0.64701565262950156</v>
      </c>
      <c r="S113">
        <f t="shared" si="25"/>
        <v>0.72993622468998831</v>
      </c>
      <c r="T113">
        <f t="shared" si="26"/>
        <v>0.69987563361757077</v>
      </c>
      <c r="U113">
        <f t="shared" si="27"/>
        <v>0.65726707306689724</v>
      </c>
      <c r="V113">
        <f t="shared" si="28"/>
        <v>0.88691421998569364</v>
      </c>
      <c r="W113">
        <f t="shared" si="29"/>
        <v>0.87331354137712314</v>
      </c>
      <c r="X113">
        <f t="shared" si="30"/>
        <v>0.85822269813181673</v>
      </c>
    </row>
    <row r="114" spans="4:24" x14ac:dyDescent="0.3">
      <c r="D114">
        <v>26.385422285123507</v>
      </c>
      <c r="E114">
        <v>13.487914548684158</v>
      </c>
      <c r="F114">
        <v>20.626620494907197</v>
      </c>
      <c r="G114">
        <f t="shared" si="31"/>
        <v>14.010857297639983</v>
      </c>
      <c r="H114">
        <f t="shared" si="31"/>
        <v>14.752361412031716</v>
      </c>
      <c r="I114">
        <f t="shared" si="31"/>
        <v>16.406029733645838</v>
      </c>
      <c r="J114">
        <f t="shared" si="32"/>
        <v>6.2208019042484786</v>
      </c>
      <c r="K114">
        <f t="shared" si="32"/>
        <v>6.9687240579263854</v>
      </c>
      <c r="L114">
        <f t="shared" si="32"/>
        <v>8.1000329277288632</v>
      </c>
      <c r="M114">
        <f t="shared" si="33"/>
        <v>4.1921918920568473</v>
      </c>
      <c r="N114">
        <f t="shared" si="33"/>
        <v>4.6296050148216619</v>
      </c>
      <c r="O114">
        <f t="shared" si="33"/>
        <v>5.11639993824872</v>
      </c>
      <c r="P114">
        <f t="shared" si="22"/>
        <v>0.69484582749656953</v>
      </c>
      <c r="Q114">
        <f t="shared" si="23"/>
        <v>0.68044792772498641</v>
      </c>
      <c r="R114">
        <f t="shared" si="24"/>
        <v>0.64969789959355972</v>
      </c>
      <c r="S114">
        <f t="shared" si="25"/>
        <v>0.7322491257139695</v>
      </c>
      <c r="T114">
        <f t="shared" si="26"/>
        <v>0.70234099806427308</v>
      </c>
      <c r="U114">
        <f t="shared" si="27"/>
        <v>0.65991236708130174</v>
      </c>
      <c r="V114">
        <f t="shared" si="28"/>
        <v>0.88808883692921192</v>
      </c>
      <c r="W114">
        <f t="shared" si="29"/>
        <v>0.87460945548080526</v>
      </c>
      <c r="X114">
        <f t="shared" si="30"/>
        <v>0.85964817214133471</v>
      </c>
    </row>
    <row r="115" spans="4:24" x14ac:dyDescent="0.3">
      <c r="D115">
        <v>26.623128792196692</v>
      </c>
      <c r="E115">
        <v>13.609427292365996</v>
      </c>
      <c r="F115">
        <v>20.812445904771227</v>
      </c>
      <c r="G115">
        <f t="shared" si="31"/>
        <v>14.010857297639983</v>
      </c>
      <c r="H115">
        <f t="shared" si="31"/>
        <v>14.752361412031716</v>
      </c>
      <c r="I115">
        <f t="shared" si="31"/>
        <v>16.406029733645838</v>
      </c>
      <c r="J115">
        <f t="shared" si="32"/>
        <v>6.2208019042484786</v>
      </c>
      <c r="K115">
        <f t="shared" si="32"/>
        <v>6.9687240579263854</v>
      </c>
      <c r="L115">
        <f t="shared" si="32"/>
        <v>8.1000329277288632</v>
      </c>
      <c r="M115">
        <f t="shared" si="33"/>
        <v>4.1921918920568473</v>
      </c>
      <c r="N115">
        <f t="shared" si="33"/>
        <v>4.6296050148216619</v>
      </c>
      <c r="O115">
        <f t="shared" si="33"/>
        <v>5.11639993824872</v>
      </c>
      <c r="P115">
        <f t="shared" si="22"/>
        <v>0.69731237088828657</v>
      </c>
      <c r="Q115">
        <f t="shared" si="23"/>
        <v>0.6829777515139881</v>
      </c>
      <c r="R115">
        <f t="shared" si="24"/>
        <v>0.65234678606825536</v>
      </c>
      <c r="S115">
        <f t="shared" si="25"/>
        <v>0.73452884740599611</v>
      </c>
      <c r="T115">
        <f t="shared" si="26"/>
        <v>0.70477269905070372</v>
      </c>
      <c r="U115">
        <f t="shared" si="27"/>
        <v>0.66252413522656073</v>
      </c>
      <c r="V115">
        <f t="shared" si="28"/>
        <v>0.88924238485183316</v>
      </c>
      <c r="W115">
        <f t="shared" si="29"/>
        <v>0.87588252678298983</v>
      </c>
      <c r="X115">
        <f t="shared" si="30"/>
        <v>0.86104901049033167</v>
      </c>
    </row>
    <row r="116" spans="4:24" x14ac:dyDescent="0.3">
      <c r="D116">
        <v>26.860835299269876</v>
      </c>
      <c r="E116">
        <v>13.730940036047835</v>
      </c>
      <c r="F116">
        <v>20.998271314635257</v>
      </c>
      <c r="G116">
        <f t="shared" si="31"/>
        <v>14.010857297639983</v>
      </c>
      <c r="H116">
        <f t="shared" si="31"/>
        <v>14.752361412031716</v>
      </c>
      <c r="I116">
        <f t="shared" si="31"/>
        <v>16.406029733645838</v>
      </c>
      <c r="J116">
        <f t="shared" si="32"/>
        <v>6.2208019042484786</v>
      </c>
      <c r="K116">
        <f t="shared" si="32"/>
        <v>6.9687240579263854</v>
      </c>
      <c r="L116">
        <f t="shared" si="32"/>
        <v>8.1000329277288632</v>
      </c>
      <c r="M116">
        <f t="shared" si="33"/>
        <v>4.1921918920568473</v>
      </c>
      <c r="N116">
        <f t="shared" si="33"/>
        <v>4.6296050148216619</v>
      </c>
      <c r="O116">
        <f t="shared" si="33"/>
        <v>5.11639993824872</v>
      </c>
      <c r="P116">
        <f t="shared" si="22"/>
        <v>0.69974581745869968</v>
      </c>
      <c r="Q116">
        <f t="shared" si="23"/>
        <v>0.68547446008580948</v>
      </c>
      <c r="R116">
        <f t="shared" si="24"/>
        <v>0.65496285843640367</v>
      </c>
      <c r="S116">
        <f t="shared" si="25"/>
        <v>0.73677603671403169</v>
      </c>
      <c r="T116">
        <f t="shared" si="26"/>
        <v>0.70717135527430608</v>
      </c>
      <c r="U116">
        <f t="shared" si="27"/>
        <v>0.66510293972156764</v>
      </c>
      <c r="V116">
        <f t="shared" si="28"/>
        <v>0.89037539442106828</v>
      </c>
      <c r="W116">
        <f t="shared" si="29"/>
        <v>0.87713331956595608</v>
      </c>
      <c r="X116">
        <f t="shared" si="30"/>
        <v>0.86242580847183148</v>
      </c>
    </row>
    <row r="117" spans="4:24" x14ac:dyDescent="0.3">
      <c r="D117">
        <v>27.098541806343061</v>
      </c>
      <c r="E117">
        <v>13.852452779729674</v>
      </c>
      <c r="F117">
        <v>21.184096724499287</v>
      </c>
      <c r="G117">
        <f t="shared" si="31"/>
        <v>14.010857297639983</v>
      </c>
      <c r="H117">
        <f t="shared" si="31"/>
        <v>14.752361412031716</v>
      </c>
      <c r="I117">
        <f t="shared" si="31"/>
        <v>16.406029733645838</v>
      </c>
      <c r="J117">
        <f t="shared" si="32"/>
        <v>6.2208019042484786</v>
      </c>
      <c r="K117">
        <f t="shared" si="32"/>
        <v>6.9687240579263854</v>
      </c>
      <c r="L117">
        <f t="shared" si="32"/>
        <v>8.1000329277288632</v>
      </c>
      <c r="M117">
        <f t="shared" si="33"/>
        <v>4.1921918920568473</v>
      </c>
      <c r="N117">
        <f t="shared" si="33"/>
        <v>4.6296050148216619</v>
      </c>
      <c r="O117">
        <f t="shared" si="33"/>
        <v>5.11639993824872</v>
      </c>
      <c r="P117">
        <f t="shared" si="22"/>
        <v>0.7021467639069261</v>
      </c>
      <c r="Q117">
        <f t="shared" si="23"/>
        <v>0.6879386326873238</v>
      </c>
      <c r="R117">
        <f t="shared" si="24"/>
        <v>0.65754665268747559</v>
      </c>
      <c r="S117">
        <f t="shared" si="25"/>
        <v>0.73899132511327248</v>
      </c>
      <c r="T117">
        <f t="shared" si="26"/>
        <v>0.709537571694842</v>
      </c>
      <c r="U117">
        <f t="shared" si="27"/>
        <v>0.66764933173221974</v>
      </c>
      <c r="V117">
        <f t="shared" si="28"/>
        <v>0.89148837923656532</v>
      </c>
      <c r="W117">
        <f t="shared" si="29"/>
        <v>0.87836238034742842</v>
      </c>
      <c r="X117">
        <f t="shared" si="30"/>
        <v>0.86377914309152937</v>
      </c>
    </row>
    <row r="118" spans="4:24" x14ac:dyDescent="0.3">
      <c r="D118">
        <v>27.336248313416245</v>
      </c>
      <c r="E118">
        <v>13.973965523411513</v>
      </c>
      <c r="F118">
        <v>21.369922134363318</v>
      </c>
      <c r="G118">
        <f t="shared" si="31"/>
        <v>14.010857297639983</v>
      </c>
      <c r="H118">
        <f t="shared" si="31"/>
        <v>14.752361412031716</v>
      </c>
      <c r="I118">
        <f t="shared" si="31"/>
        <v>16.406029733645838</v>
      </c>
      <c r="J118">
        <f t="shared" si="32"/>
        <v>6.2208019042484786</v>
      </c>
      <c r="K118">
        <f t="shared" si="32"/>
        <v>6.9687240579263854</v>
      </c>
      <c r="L118">
        <f t="shared" si="32"/>
        <v>8.1000329277288632</v>
      </c>
      <c r="M118">
        <f t="shared" si="33"/>
        <v>4.1921918920568473</v>
      </c>
      <c r="N118">
        <f t="shared" si="33"/>
        <v>4.6296050148216619</v>
      </c>
      <c r="O118">
        <f t="shared" si="33"/>
        <v>5.11639993824872</v>
      </c>
      <c r="P118">
        <f t="shared" si="22"/>
        <v>0.70451579397341912</v>
      </c>
      <c r="Q118">
        <f t="shared" si="23"/>
        <v>0.69037083647300646</v>
      </c>
      <c r="R118">
        <f t="shared" si="24"/>
        <v>0.66009869461704418</v>
      </c>
      <c r="S118">
        <f t="shared" si="25"/>
        <v>0.74117532902869854</v>
      </c>
      <c r="T118">
        <f t="shared" si="26"/>
        <v>0.71187193987289421</v>
      </c>
      <c r="U118">
        <f t="shared" si="27"/>
        <v>0.67016385159632019</v>
      </c>
      <c r="V118">
        <f t="shared" si="28"/>
        <v>0.89258183649359357</v>
      </c>
      <c r="W118">
        <f t="shared" si="29"/>
        <v>0.87957023855504868</v>
      </c>
      <c r="X118">
        <f t="shared" si="30"/>
        <v>0.86510957374345665</v>
      </c>
    </row>
    <row r="119" spans="4:24" x14ac:dyDescent="0.3">
      <c r="D119">
        <v>27.57395482048943</v>
      </c>
      <c r="E119">
        <v>14.095478267093352</v>
      </c>
      <c r="F119">
        <v>21.555747544227348</v>
      </c>
      <c r="G119">
        <f t="shared" si="31"/>
        <v>14.010857297639983</v>
      </c>
      <c r="H119">
        <f t="shared" si="31"/>
        <v>14.752361412031716</v>
      </c>
      <c r="I119">
        <f t="shared" si="31"/>
        <v>16.406029733645838</v>
      </c>
      <c r="J119">
        <f t="shared" si="32"/>
        <v>6.2208019042484786</v>
      </c>
      <c r="K119">
        <f t="shared" si="32"/>
        <v>6.9687240579263854</v>
      </c>
      <c r="L119">
        <f t="shared" si="32"/>
        <v>8.1000329277288632</v>
      </c>
      <c r="M119">
        <f t="shared" si="33"/>
        <v>4.1921918920568473</v>
      </c>
      <c r="N119">
        <f t="shared" si="33"/>
        <v>4.6296050148216619</v>
      </c>
      <c r="O119">
        <f t="shared" si="33"/>
        <v>5.11639993824872</v>
      </c>
      <c r="P119">
        <f t="shared" si="22"/>
        <v>0.70685347875037607</v>
      </c>
      <c r="Q119">
        <f t="shared" si="23"/>
        <v>0.69277162677784243</v>
      </c>
      <c r="R119">
        <f t="shared" si="24"/>
        <v>0.66261950002375369</v>
      </c>
      <c r="S119">
        <f t="shared" si="25"/>
        <v>0.74332865024537909</v>
      </c>
      <c r="T119">
        <f t="shared" si="26"/>
        <v>0.71417503830011875</v>
      </c>
      <c r="U119">
        <f t="shared" si="27"/>
        <v>0.67264702904502049</v>
      </c>
      <c r="V119">
        <f t="shared" si="28"/>
        <v>0.89365624761646001</v>
      </c>
      <c r="W119">
        <f t="shared" si="29"/>
        <v>0.88075740717107143</v>
      </c>
      <c r="X119">
        <f t="shared" si="30"/>
        <v>0.86641764285670975</v>
      </c>
    </row>
    <row r="120" spans="4:24" x14ac:dyDescent="0.3">
      <c r="D120">
        <v>27.811661327562614</v>
      </c>
      <c r="E120">
        <v>14.216991010775191</v>
      </c>
      <c r="F120">
        <v>21.741572954091378</v>
      </c>
      <c r="G120">
        <f t="shared" si="31"/>
        <v>14.010857297639983</v>
      </c>
      <c r="H120">
        <f t="shared" si="31"/>
        <v>14.752361412031716</v>
      </c>
      <c r="I120">
        <f t="shared" si="31"/>
        <v>16.406029733645838</v>
      </c>
      <c r="J120">
        <f t="shared" si="32"/>
        <v>6.2208019042484786</v>
      </c>
      <c r="K120">
        <f t="shared" si="32"/>
        <v>6.9687240579263854</v>
      </c>
      <c r="L120">
        <f t="shared" si="32"/>
        <v>8.1000329277288632</v>
      </c>
      <c r="M120">
        <f t="shared" si="33"/>
        <v>4.1921918920568473</v>
      </c>
      <c r="N120">
        <f t="shared" si="33"/>
        <v>4.6296050148216619</v>
      </c>
      <c r="O120">
        <f t="shared" si="33"/>
        <v>5.11639993824872</v>
      </c>
      <c r="P120">
        <f t="shared" si="22"/>
        <v>0.7091603769849173</v>
      </c>
      <c r="Q120">
        <f t="shared" si="23"/>
        <v>0.69514154738462119</v>
      </c>
      <c r="R120">
        <f t="shared" si="24"/>
        <v>0.66510957490369915</v>
      </c>
      <c r="S120">
        <f t="shared" si="25"/>
        <v>0.74545187630685827</v>
      </c>
      <c r="T120">
        <f t="shared" si="26"/>
        <v>0.71644743272138733</v>
      </c>
      <c r="U120">
        <f t="shared" si="27"/>
        <v>0.67509938342073994</v>
      </c>
      <c r="V120">
        <f t="shared" si="28"/>
        <v>0.89471207886340909</v>
      </c>
      <c r="W120">
        <f t="shared" si="29"/>
        <v>0.88192438334877044</v>
      </c>
      <c r="X120">
        <f t="shared" si="30"/>
        <v>0.86770387651464576</v>
      </c>
    </row>
    <row r="121" spans="4:24" x14ac:dyDescent="0.3">
      <c r="D121">
        <v>28.049367834635799</v>
      </c>
      <c r="E121">
        <v>14.33850375445703</v>
      </c>
      <c r="F121">
        <v>21.927398363955408</v>
      </c>
      <c r="G121">
        <f t="shared" si="31"/>
        <v>14.010857297639983</v>
      </c>
      <c r="H121">
        <f t="shared" si="31"/>
        <v>14.752361412031716</v>
      </c>
      <c r="I121">
        <f t="shared" si="31"/>
        <v>16.406029733645838</v>
      </c>
      <c r="J121">
        <f t="shared" si="32"/>
        <v>6.2208019042484786</v>
      </c>
      <c r="K121">
        <f t="shared" si="32"/>
        <v>6.9687240579263854</v>
      </c>
      <c r="L121">
        <f t="shared" si="32"/>
        <v>8.1000329277288632</v>
      </c>
      <c r="M121">
        <f t="shared" si="33"/>
        <v>4.1921918920568473</v>
      </c>
      <c r="N121">
        <f t="shared" si="33"/>
        <v>4.6296050148216619</v>
      </c>
      <c r="O121">
        <f t="shared" si="33"/>
        <v>5.11639993824872</v>
      </c>
      <c r="P121">
        <f t="shared" si="22"/>
        <v>0.71143703537514313</v>
      </c>
      <c r="Q121">
        <f t="shared" si="23"/>
        <v>0.69748113078565344</v>
      </c>
      <c r="R121">
        <f t="shared" si="24"/>
        <v>0.6675694156421349</v>
      </c>
      <c r="S121">
        <f t="shared" si="25"/>
        <v>0.74754558090194989</v>
      </c>
      <c r="T121">
        <f t="shared" si="26"/>
        <v>0.71868967644895887</v>
      </c>
      <c r="U121">
        <f t="shared" si="27"/>
        <v>0.67752142389150805</v>
      </c>
      <c r="V121">
        <f t="shared" si="28"/>
        <v>0.8957497819044612</v>
      </c>
      <c r="W121">
        <f t="shared" si="29"/>
        <v>0.88307164900196233</v>
      </c>
      <c r="X121">
        <f t="shared" si="30"/>
        <v>0.86896878504786257</v>
      </c>
    </row>
    <row r="122" spans="4:24" x14ac:dyDescent="0.3">
      <c r="D122">
        <v>28.287074341708983</v>
      </c>
      <c r="E122">
        <v>14.460016498138868</v>
      </c>
      <c r="F122">
        <v>22.113223773819438</v>
      </c>
      <c r="G122">
        <f t="shared" si="31"/>
        <v>14.010857297639983</v>
      </c>
      <c r="H122">
        <f t="shared" si="31"/>
        <v>14.752361412031716</v>
      </c>
      <c r="I122">
        <f t="shared" si="31"/>
        <v>16.406029733645838</v>
      </c>
      <c r="J122">
        <f t="shared" si="32"/>
        <v>6.2208019042484786</v>
      </c>
      <c r="K122">
        <f t="shared" si="32"/>
        <v>6.9687240579263854</v>
      </c>
      <c r="L122">
        <f t="shared" si="32"/>
        <v>8.1000329277288632</v>
      </c>
      <c r="M122">
        <f t="shared" si="33"/>
        <v>4.1921918920568473</v>
      </c>
      <c r="N122">
        <f t="shared" si="33"/>
        <v>4.6296050148216619</v>
      </c>
      <c r="O122">
        <f t="shared" si="33"/>
        <v>5.11639993824872</v>
      </c>
      <c r="P122">
        <f t="shared" si="22"/>
        <v>0.71368398885917805</v>
      </c>
      <c r="Q122">
        <f t="shared" si="23"/>
        <v>0.69979089843895159</v>
      </c>
      <c r="R122">
        <f t="shared" si="24"/>
        <v>0.66999950920243845</v>
      </c>
      <c r="S122">
        <f t="shared" si="25"/>
        <v>0.74961032424026586</v>
      </c>
      <c r="T122">
        <f t="shared" si="26"/>
        <v>0.72090231066883126</v>
      </c>
      <c r="U122">
        <f t="shared" si="27"/>
        <v>0.6799136496616941</v>
      </c>
      <c r="V122">
        <f t="shared" si="28"/>
        <v>0.89676979437356996</v>
      </c>
      <c r="W122">
        <f t="shared" si="29"/>
        <v>0.88419967136897804</v>
      </c>
      <c r="X122">
        <f t="shared" si="30"/>
        <v>0.87021286360222061</v>
      </c>
    </row>
    <row r="123" spans="4:24" x14ac:dyDescent="0.3">
      <c r="D123">
        <v>28.524780848782168</v>
      </c>
      <c r="E123">
        <v>14.581529241820707</v>
      </c>
      <c r="F123">
        <v>22.299049183683469</v>
      </c>
      <c r="G123">
        <f t="shared" si="31"/>
        <v>14.010857297639983</v>
      </c>
      <c r="H123">
        <f t="shared" si="31"/>
        <v>14.752361412031716</v>
      </c>
      <c r="I123">
        <f t="shared" si="31"/>
        <v>16.406029733645838</v>
      </c>
      <c r="J123">
        <f t="shared" si="32"/>
        <v>6.2208019042484786</v>
      </c>
      <c r="K123">
        <f t="shared" si="32"/>
        <v>6.9687240579263854</v>
      </c>
      <c r="L123">
        <f t="shared" si="32"/>
        <v>8.1000329277288632</v>
      </c>
      <c r="M123">
        <f t="shared" si="33"/>
        <v>4.1921918920568473</v>
      </c>
      <c r="N123">
        <f t="shared" si="33"/>
        <v>4.6296050148216619</v>
      </c>
      <c r="O123">
        <f t="shared" si="33"/>
        <v>5.11639993824872</v>
      </c>
      <c r="P123">
        <f t="shared" si="22"/>
        <v>0.71590176089731183</v>
      </c>
      <c r="Q123">
        <f t="shared" si="23"/>
        <v>0.70207136101892287</v>
      </c>
      <c r="R123">
        <f t="shared" si="24"/>
        <v>0.67240033331226601</v>
      </c>
      <c r="S123">
        <f t="shared" si="25"/>
        <v>0.7516466534167876</v>
      </c>
      <c r="T123">
        <f t="shared" si="26"/>
        <v>0.72308586473941727</v>
      </c>
      <c r="U123">
        <f t="shared" si="27"/>
        <v>0.68227655017909017</v>
      </c>
      <c r="V123">
        <f t="shared" si="28"/>
        <v>0.89777254039639132</v>
      </c>
      <c r="W123">
        <f t="shared" si="29"/>
        <v>0.88530890355233482</v>
      </c>
      <c r="X123">
        <f t="shared" si="30"/>
        <v>0.87143659268308904</v>
      </c>
    </row>
    <row r="124" spans="4:24" x14ac:dyDescent="0.3">
      <c r="D124">
        <v>28.762487355855352</v>
      </c>
      <c r="E124">
        <v>14.703041985502546</v>
      </c>
      <c r="F124">
        <v>22.484874593547499</v>
      </c>
      <c r="G124">
        <f t="shared" si="31"/>
        <v>14.010857297639983</v>
      </c>
      <c r="H124">
        <f t="shared" si="31"/>
        <v>14.752361412031716</v>
      </c>
      <c r="I124">
        <f t="shared" si="31"/>
        <v>16.406029733645838</v>
      </c>
      <c r="J124">
        <f t="shared" si="32"/>
        <v>6.2208019042484786</v>
      </c>
      <c r="K124">
        <f t="shared" si="32"/>
        <v>6.9687240579263854</v>
      </c>
      <c r="L124">
        <f t="shared" si="32"/>
        <v>8.1000329277288632</v>
      </c>
      <c r="M124">
        <f t="shared" si="33"/>
        <v>4.1921918920568473</v>
      </c>
      <c r="N124">
        <f t="shared" si="33"/>
        <v>4.6296050148216619</v>
      </c>
      <c r="O124">
        <f t="shared" si="33"/>
        <v>5.11639993824872</v>
      </c>
      <c r="P124">
        <f t="shared" si="22"/>
        <v>0.71809086374735598</v>
      </c>
      <c r="Q124">
        <f t="shared" si="23"/>
        <v>0.70432301866162605</v>
      </c>
      <c r="R124">
        <f t="shared" si="24"/>
        <v>0.67477235664684743</v>
      </c>
      <c r="S124">
        <f t="shared" si="25"/>
        <v>0.75365510276579784</v>
      </c>
      <c r="T124">
        <f t="shared" si="26"/>
        <v>0.72524085648270109</v>
      </c>
      <c r="U124">
        <f t="shared" si="27"/>
        <v>0.68461060533833074</v>
      </c>
      <c r="V124">
        <f t="shared" si="28"/>
        <v>0.89875843109489395</v>
      </c>
      <c r="W124">
        <f t="shared" si="29"/>
        <v>0.88639978503529959</v>
      </c>
      <c r="X124">
        <f t="shared" si="30"/>
        <v>0.87264043867694485</v>
      </c>
    </row>
    <row r="125" spans="4:24" x14ac:dyDescent="0.3">
      <c r="D125">
        <v>29.000193862928537</v>
      </c>
      <c r="E125">
        <v>14.824554729184385</v>
      </c>
      <c r="F125">
        <v>22.670700003411529</v>
      </c>
      <c r="G125">
        <f t="shared" si="31"/>
        <v>14.010857297639983</v>
      </c>
      <c r="H125">
        <f t="shared" si="31"/>
        <v>14.752361412031716</v>
      </c>
      <c r="I125">
        <f t="shared" si="31"/>
        <v>16.406029733645838</v>
      </c>
      <c r="J125">
        <f t="shared" si="32"/>
        <v>6.2208019042484786</v>
      </c>
      <c r="K125">
        <f t="shared" si="32"/>
        <v>6.9687240579263854</v>
      </c>
      <c r="L125">
        <f t="shared" si="32"/>
        <v>8.1000329277288632</v>
      </c>
      <c r="M125">
        <f t="shared" si="33"/>
        <v>4.1921918920568473</v>
      </c>
      <c r="N125">
        <f t="shared" si="33"/>
        <v>4.6296050148216619</v>
      </c>
      <c r="O125">
        <f t="shared" si="33"/>
        <v>5.11639993824872</v>
      </c>
      <c r="P125">
        <f t="shared" si="22"/>
        <v>0.72025179873333667</v>
      </c>
      <c r="Q125">
        <f t="shared" si="23"/>
        <v>0.70654636120466074</v>
      </c>
      <c r="R125">
        <f t="shared" si="24"/>
        <v>0.67711603900938311</v>
      </c>
      <c r="S125">
        <f t="shared" si="25"/>
        <v>0.75563619420447203</v>
      </c>
      <c r="T125">
        <f t="shared" si="26"/>
        <v>0.72736779246802652</v>
      </c>
      <c r="U125">
        <f t="shared" si="27"/>
        <v>0.68691628568063812</v>
      </c>
      <c r="V125">
        <f t="shared" si="28"/>
        <v>0.89972786506996305</v>
      </c>
      <c r="W125">
        <f t="shared" si="29"/>
        <v>0.8874727421764631</v>
      </c>
      <c r="X125">
        <f t="shared" si="30"/>
        <v>0.8738248543513859</v>
      </c>
    </row>
    <row r="126" spans="4:24" x14ac:dyDescent="0.3">
      <c r="D126">
        <v>29.237900370001721</v>
      </c>
      <c r="E126">
        <v>14.946067472866224</v>
      </c>
      <c r="F126">
        <v>22.856525413275559</v>
      </c>
      <c r="G126">
        <f t="shared" si="31"/>
        <v>14.010857297639983</v>
      </c>
      <c r="H126">
        <f t="shared" si="31"/>
        <v>14.752361412031716</v>
      </c>
      <c r="I126">
        <f t="shared" si="31"/>
        <v>16.406029733645838</v>
      </c>
      <c r="J126">
        <f t="shared" si="32"/>
        <v>6.2208019042484786</v>
      </c>
      <c r="K126">
        <f t="shared" si="32"/>
        <v>6.9687240579263854</v>
      </c>
      <c r="L126">
        <f t="shared" si="32"/>
        <v>8.1000329277288632</v>
      </c>
      <c r="M126">
        <f t="shared" si="33"/>
        <v>4.1921918920568473</v>
      </c>
      <c r="N126">
        <f t="shared" si="33"/>
        <v>4.6296050148216619</v>
      </c>
      <c r="O126">
        <f t="shared" si="33"/>
        <v>5.11639993824872</v>
      </c>
      <c r="P126">
        <f t="shared" si="22"/>
        <v>0.72238505650764673</v>
      </c>
      <c r="Q126">
        <f t="shared" si="23"/>
        <v>0.70874186842175069</v>
      </c>
      <c r="R126">
        <f t="shared" si="24"/>
        <v>0.67943183150850894</v>
      </c>
      <c r="S126">
        <f t="shared" si="25"/>
        <v>0.75759043756643063</v>
      </c>
      <c r="T126">
        <f t="shared" si="26"/>
        <v>0.72946716828867297</v>
      </c>
      <c r="U126">
        <f t="shared" si="27"/>
        <v>0.6891940525898913</v>
      </c>
      <c r="V126">
        <f t="shared" si="28"/>
        <v>0.90068122886309276</v>
      </c>
      <c r="W126">
        <f t="shared" si="29"/>
        <v>0.88852818868338934</v>
      </c>
      <c r="X126">
        <f t="shared" si="30"/>
        <v>0.8749902793345723</v>
      </c>
    </row>
    <row r="127" spans="4:24" x14ac:dyDescent="0.3">
      <c r="D127">
        <v>29.475606877074906</v>
      </c>
      <c r="E127">
        <v>15.067580216548063</v>
      </c>
      <c r="F127">
        <v>23.042350823139589</v>
      </c>
      <c r="G127">
        <f t="shared" si="31"/>
        <v>14.010857297639983</v>
      </c>
      <c r="H127">
        <f t="shared" si="31"/>
        <v>14.752361412031716</v>
      </c>
      <c r="I127">
        <f t="shared" si="31"/>
        <v>16.406029733645838</v>
      </c>
      <c r="J127">
        <f t="shared" si="32"/>
        <v>6.2208019042484786</v>
      </c>
      <c r="K127">
        <f t="shared" si="32"/>
        <v>6.9687240579263854</v>
      </c>
      <c r="L127">
        <f t="shared" si="32"/>
        <v>8.1000329277288632</v>
      </c>
      <c r="M127">
        <f t="shared" si="33"/>
        <v>4.1921918920568473</v>
      </c>
      <c r="N127">
        <f t="shared" si="33"/>
        <v>4.6296050148216619</v>
      </c>
      <c r="O127">
        <f t="shared" si="33"/>
        <v>5.11639993824872</v>
      </c>
      <c r="P127">
        <f t="shared" si="22"/>
        <v>0.72449111730677895</v>
      </c>
      <c r="Q127">
        <f t="shared" si="23"/>
        <v>0.71091001025209211</v>
      </c>
      <c r="R127">
        <f t="shared" si="24"/>
        <v>0.68172017673280216</v>
      </c>
      <c r="S127">
        <f t="shared" si="25"/>
        <v>0.75951833092554033</v>
      </c>
      <c r="T127">
        <f t="shared" si="26"/>
        <v>0.73153946883137366</v>
      </c>
      <c r="U127">
        <f t="shared" si="27"/>
        <v>0.69144435848502195</v>
      </c>
      <c r="V127">
        <f t="shared" si="28"/>
        <v>0.90161889739819545</v>
      </c>
      <c r="W127">
        <f t="shared" si="29"/>
        <v>0.88956652606634334</v>
      </c>
      <c r="X127">
        <f t="shared" si="30"/>
        <v>0.87613714057504899</v>
      </c>
    </row>
    <row r="128" spans="4:24" x14ac:dyDescent="0.3">
      <c r="D128">
        <v>29.713313384148091</v>
      </c>
      <c r="E128">
        <v>15.189092960229901</v>
      </c>
      <c r="F128">
        <v>23.228176233003619</v>
      </c>
      <c r="G128">
        <f t="shared" si="31"/>
        <v>14.010857297639983</v>
      </c>
      <c r="H128">
        <f t="shared" si="31"/>
        <v>14.752361412031716</v>
      </c>
      <c r="I128">
        <f t="shared" si="31"/>
        <v>16.406029733645838</v>
      </c>
      <c r="J128">
        <f t="shared" si="32"/>
        <v>6.2208019042484786</v>
      </c>
      <c r="K128">
        <f t="shared" si="32"/>
        <v>6.9687240579263854</v>
      </c>
      <c r="L128">
        <f t="shared" si="32"/>
        <v>8.1000329277288632</v>
      </c>
      <c r="M128">
        <f t="shared" si="33"/>
        <v>4.1921918920568473</v>
      </c>
      <c r="N128">
        <f t="shared" si="33"/>
        <v>4.6296050148216619</v>
      </c>
      <c r="O128">
        <f t="shared" si="33"/>
        <v>5.11639993824872</v>
      </c>
      <c r="P128">
        <f t="shared" si="22"/>
        <v>0.72657045120077335</v>
      </c>
      <c r="Q128">
        <f t="shared" si="23"/>
        <v>0.71305124702454603</v>
      </c>
      <c r="R128">
        <f t="shared" si="24"/>
        <v>0.68398150892232046</v>
      </c>
      <c r="S128">
        <f t="shared" si="25"/>
        <v>0.761420360910254</v>
      </c>
      <c r="T128">
        <f t="shared" si="26"/>
        <v>0.73358516853893252</v>
      </c>
      <c r="U128">
        <f t="shared" si="27"/>
        <v>0.69366764700875128</v>
      </c>
      <c r="V128">
        <f t="shared" si="28"/>
        <v>0.90254123440450462</v>
      </c>
      <c r="W128">
        <f t="shared" si="29"/>
        <v>0.89058814407305198</v>
      </c>
      <c r="X128">
        <f t="shared" si="30"/>
        <v>0.87726585278286306</v>
      </c>
    </row>
    <row r="129" spans="4:24" x14ac:dyDescent="0.3">
      <c r="D129">
        <v>29.951019891221275</v>
      </c>
      <c r="E129">
        <v>15.31060570391174</v>
      </c>
      <c r="F129">
        <v>23.41400164286765</v>
      </c>
      <c r="G129">
        <f t="shared" si="31"/>
        <v>14.010857297639983</v>
      </c>
      <c r="H129">
        <f t="shared" si="31"/>
        <v>14.752361412031716</v>
      </c>
      <c r="I129">
        <f t="shared" si="31"/>
        <v>16.406029733645838</v>
      </c>
      <c r="J129">
        <f t="shared" si="32"/>
        <v>6.2208019042484786</v>
      </c>
      <c r="K129">
        <f t="shared" si="32"/>
        <v>6.9687240579263854</v>
      </c>
      <c r="L129">
        <f t="shared" si="32"/>
        <v>8.1000329277288632</v>
      </c>
      <c r="M129">
        <f t="shared" si="33"/>
        <v>4.1921918920568473</v>
      </c>
      <c r="N129">
        <f t="shared" si="33"/>
        <v>4.6296050148216619</v>
      </c>
      <c r="O129">
        <f t="shared" si="33"/>
        <v>5.11639993824872</v>
      </c>
      <c r="P129">
        <f t="shared" si="22"/>
        <v>0.72862351833649786</v>
      </c>
      <c r="Q129">
        <f t="shared" si="23"/>
        <v>0.71516602967674814</v>
      </c>
      <c r="R129">
        <f t="shared" si="24"/>
        <v>0.68621625413715426</v>
      </c>
      <c r="S129">
        <f t="shared" si="25"/>
        <v>0.76329700300876158</v>
      </c>
      <c r="T129">
        <f t="shared" si="26"/>
        <v>0.73560473166609297</v>
      </c>
      <c r="U129">
        <f t="shared" si="27"/>
        <v>0.69586435321267981</v>
      </c>
      <c r="V129">
        <f t="shared" si="28"/>
        <v>0.90344859282149237</v>
      </c>
      <c r="W129">
        <f t="shared" si="29"/>
        <v>0.89159342110539275</v>
      </c>
      <c r="X129">
        <f t="shared" si="30"/>
        <v>0.87837681885283336</v>
      </c>
    </row>
    <row r="130" spans="4:24" x14ac:dyDescent="0.3">
      <c r="D130">
        <v>30.18872639829446</v>
      </c>
      <c r="E130">
        <v>15.432118447593579</v>
      </c>
      <c r="F130">
        <v>23.59982705273168</v>
      </c>
      <c r="G130">
        <f t="shared" si="31"/>
        <v>14.010857297639983</v>
      </c>
      <c r="H130">
        <f t="shared" si="31"/>
        <v>14.752361412031716</v>
      </c>
      <c r="I130">
        <f t="shared" si="31"/>
        <v>16.406029733645838</v>
      </c>
      <c r="J130">
        <f t="shared" si="32"/>
        <v>6.2208019042484786</v>
      </c>
      <c r="K130">
        <f t="shared" si="32"/>
        <v>6.9687240579263854</v>
      </c>
      <c r="L130">
        <f t="shared" si="32"/>
        <v>8.1000329277288632</v>
      </c>
      <c r="M130">
        <f t="shared" si="33"/>
        <v>4.1921918920568473</v>
      </c>
      <c r="N130">
        <f t="shared" si="33"/>
        <v>4.6296050148216619</v>
      </c>
      <c r="O130">
        <f t="shared" si="33"/>
        <v>5.11639993824872</v>
      </c>
      <c r="P130">
        <f t="shared" si="22"/>
        <v>0.73065076917489791</v>
      </c>
      <c r="Q130">
        <f t="shared" si="23"/>
        <v>0.71725479996922092</v>
      </c>
      <c r="R130">
        <f t="shared" si="24"/>
        <v>0.68842483042299718</v>
      </c>
      <c r="S130">
        <f t="shared" si="25"/>
        <v>0.76514872186522997</v>
      </c>
      <c r="T130">
        <f t="shared" si="26"/>
        <v>0.73759861252881664</v>
      </c>
      <c r="U130">
        <f t="shared" si="27"/>
        <v>0.69803490373875998</v>
      </c>
      <c r="V130">
        <f t="shared" si="28"/>
        <v>0.90434131518666994</v>
      </c>
      <c r="W130">
        <f t="shared" si="29"/>
        <v>0.89258272461887123</v>
      </c>
      <c r="X130">
        <f t="shared" si="30"/>
        <v>0.87947043027079197</v>
      </c>
    </row>
    <row r="131" spans="4:24" x14ac:dyDescent="0.3">
      <c r="D131">
        <v>30.426432905367644</v>
      </c>
      <c r="E131">
        <v>15.553631191275418</v>
      </c>
      <c r="F131">
        <v>23.78565246259571</v>
      </c>
      <c r="G131">
        <f t="shared" si="31"/>
        <v>14.010857297639983</v>
      </c>
      <c r="H131">
        <f t="shared" si="31"/>
        <v>14.752361412031716</v>
      </c>
      <c r="I131">
        <f t="shared" si="31"/>
        <v>16.406029733645838</v>
      </c>
      <c r="J131">
        <f t="shared" si="32"/>
        <v>6.2208019042484786</v>
      </c>
      <c r="K131">
        <f t="shared" si="32"/>
        <v>6.9687240579263854</v>
      </c>
      <c r="L131">
        <f t="shared" si="32"/>
        <v>8.1000329277288632</v>
      </c>
      <c r="M131">
        <f t="shared" si="33"/>
        <v>4.1921918920568473</v>
      </c>
      <c r="N131">
        <f t="shared" si="33"/>
        <v>4.6296050148216619</v>
      </c>
      <c r="O131">
        <f t="shared" si="33"/>
        <v>5.11639993824872</v>
      </c>
      <c r="P131">
        <f t="shared" si="22"/>
        <v>0.73265264472233893</v>
      </c>
      <c r="Q131">
        <f t="shared" si="23"/>
        <v>0.7193179906945687</v>
      </c>
      <c r="R131">
        <f t="shared" si="24"/>
        <v>0.69060764797373397</v>
      </c>
      <c r="S131">
        <f t="shared" si="25"/>
        <v>0.76697597156739072</v>
      </c>
      <c r="T131">
        <f t="shared" si="26"/>
        <v>0.7395672557471199</v>
      </c>
      <c r="U131">
        <f t="shared" si="27"/>
        <v>0.70017971699716919</v>
      </c>
      <c r="V131">
        <f t="shared" si="28"/>
        <v>0.9052197340071011</v>
      </c>
      <c r="W131">
        <f t="shared" si="29"/>
        <v>0.89355641150568754</v>
      </c>
      <c r="X131">
        <f t="shared" si="30"/>
        <v>0.8805470675035727</v>
      </c>
    </row>
    <row r="132" spans="4:24" x14ac:dyDescent="0.3">
      <c r="D132">
        <v>30.664139412440829</v>
      </c>
      <c r="E132">
        <v>15.675143934957257</v>
      </c>
      <c r="F132">
        <v>23.97147787245974</v>
      </c>
      <c r="G132">
        <f t="shared" ref="G132:I163" si="34">PERCENTILE($A$3:$A$106, G$1)</f>
        <v>14.010857297639983</v>
      </c>
      <c r="H132">
        <f t="shared" si="34"/>
        <v>14.752361412031716</v>
      </c>
      <c r="I132">
        <f t="shared" si="34"/>
        <v>16.406029733645838</v>
      </c>
      <c r="J132">
        <f t="shared" ref="J132:L163" si="35">PERCENTILE($B$3:$B$106, J$1)</f>
        <v>6.2208019042484786</v>
      </c>
      <c r="K132">
        <f t="shared" si="35"/>
        <v>6.9687240579263854</v>
      </c>
      <c r="L132">
        <f t="shared" si="35"/>
        <v>8.1000329277288632</v>
      </c>
      <c r="M132">
        <f t="shared" ref="M132:O163" si="36">PERCENTILE($C$3:$C$106, M$1)</f>
        <v>4.1921918920568473</v>
      </c>
      <c r="N132">
        <f t="shared" si="36"/>
        <v>4.6296050148216619</v>
      </c>
      <c r="O132">
        <f t="shared" si="36"/>
        <v>5.11639993824872</v>
      </c>
      <c r="P132">
        <f t="shared" ref="P132:P195" si="37">IFERROR((POWER($D132, P$1)/(POWER($D132, P$1)+POWER(G132, P$1))), 0)</f>
        <v>0.7346295767561708</v>
      </c>
      <c r="Q132">
        <f t="shared" ref="Q132:Q195" si="38">IFERROR((POWER($D132, Q$1)/(POWER($D132, Q$1)+POWER(H132, Q$1))), 0)</f>
        <v>0.72135602588184244</v>
      </c>
      <c r="R132">
        <f t="shared" ref="R132:R195" si="39">IFERROR((POWER($D132, R$1)/(POWER($D132, R$1)+POWER(I132, R$1))), 0)</f>
        <v>0.69276510929105206</v>
      </c>
      <c r="S132">
        <f t="shared" ref="S132:S195" si="40">IFERROR((POWER($E132, S$1)/(POWER($E132, S$1)+POWER(J132, S$1))), 0)</f>
        <v>0.76877919592573818</v>
      </c>
      <c r="T132">
        <f t="shared" ref="T132:T195" si="41">IFERROR((POWER($E132, T$1)/(POWER($E132, T$1)+POWER(K132, T$1))), 0)</f>
        <v>0.74151109648162916</v>
      </c>
      <c r="U132">
        <f t="shared" ref="U132:U195" si="42">IFERROR((POWER($E132, U$1)/(POWER($E132, U$1)+POWER(L132, U$1))), 0)</f>
        <v>0.70229920334062446</v>
      </c>
      <c r="V132">
        <f t="shared" ref="V132:V195" si="43">IFERROR((POWER($F132, V$1)/(POWER($F132, V$1)+POWER(M132, V$1))), 0)</f>
        <v>0.90608417211540038</v>
      </c>
      <c r="W132">
        <f t="shared" ref="W132:W195" si="44">IFERROR((POWER($F132, W$1)/(POWER($F132, W$1)+POWER(N132, W$1))), 0)</f>
        <v>0.89451482846216557</v>
      </c>
      <c r="X132">
        <f t="shared" ref="X132:X195" si="45">IFERROR((POWER($F132, X$1)/(POWER($F132, X$1)+POWER(O132, X$1))), 0)</f>
        <v>0.88160710037348522</v>
      </c>
    </row>
    <row r="133" spans="4:24" x14ac:dyDescent="0.3">
      <c r="D133">
        <v>30.901845919514013</v>
      </c>
      <c r="E133">
        <v>15.796656678639096</v>
      </c>
      <c r="F133">
        <v>24.15730328232377</v>
      </c>
      <c r="G133">
        <f t="shared" si="34"/>
        <v>14.010857297639983</v>
      </c>
      <c r="H133">
        <f t="shared" si="34"/>
        <v>14.752361412031716</v>
      </c>
      <c r="I133">
        <f t="shared" si="34"/>
        <v>16.406029733645838</v>
      </c>
      <c r="J133">
        <f t="shared" si="35"/>
        <v>6.2208019042484786</v>
      </c>
      <c r="K133">
        <f t="shared" si="35"/>
        <v>6.9687240579263854</v>
      </c>
      <c r="L133">
        <f t="shared" si="35"/>
        <v>8.1000329277288632</v>
      </c>
      <c r="M133">
        <f t="shared" si="36"/>
        <v>4.1921918920568473</v>
      </c>
      <c r="N133">
        <f t="shared" si="36"/>
        <v>4.6296050148216619</v>
      </c>
      <c r="O133">
        <f t="shared" si="36"/>
        <v>5.11639993824872</v>
      </c>
      <c r="P133">
        <f t="shared" si="37"/>
        <v>0.73658198804464414</v>
      </c>
      <c r="Q133">
        <f t="shared" si="38"/>
        <v>0.72336932099616147</v>
      </c>
      <c r="R133">
        <f t="shared" si="39"/>
        <v>0.69489760934109168</v>
      </c>
      <c r="S133">
        <f t="shared" si="40"/>
        <v>0.77055882874458748</v>
      </c>
      <c r="T133">
        <f t="shared" si="41"/>
        <v>0.74343056066399416</v>
      </c>
      <c r="U133">
        <f t="shared" si="42"/>
        <v>0.70439376523516273</v>
      </c>
      <c r="V133">
        <f t="shared" si="43"/>
        <v>0.90693494301096067</v>
      </c>
      <c r="W133">
        <f t="shared" si="44"/>
        <v>0.89545831234126372</v>
      </c>
      <c r="X133">
        <f t="shared" si="45"/>
        <v>0.88265088841797212</v>
      </c>
    </row>
    <row r="134" spans="4:24" x14ac:dyDescent="0.3">
      <c r="D134">
        <v>31.139552426587198</v>
      </c>
      <c r="E134">
        <v>15.918169422320934</v>
      </c>
      <c r="F134">
        <v>24.343128692187801</v>
      </c>
      <c r="G134">
        <f t="shared" si="34"/>
        <v>14.010857297639983</v>
      </c>
      <c r="H134">
        <f t="shared" si="34"/>
        <v>14.752361412031716</v>
      </c>
      <c r="I134">
        <f t="shared" si="34"/>
        <v>16.406029733645838</v>
      </c>
      <c r="J134">
        <f t="shared" si="35"/>
        <v>6.2208019042484786</v>
      </c>
      <c r="K134">
        <f t="shared" si="35"/>
        <v>6.9687240579263854</v>
      </c>
      <c r="L134">
        <f t="shared" si="35"/>
        <v>8.1000329277288632</v>
      </c>
      <c r="M134">
        <f t="shared" si="36"/>
        <v>4.1921918920568473</v>
      </c>
      <c r="N134">
        <f t="shared" si="36"/>
        <v>4.6296050148216619</v>
      </c>
      <c r="O134">
        <f t="shared" si="36"/>
        <v>5.11639993824872</v>
      </c>
      <c r="P134">
        <f t="shared" si="37"/>
        <v>0.73851029256130118</v>
      </c>
      <c r="Q134">
        <f t="shared" si="38"/>
        <v>0.72535828313367579</v>
      </c>
      <c r="R134">
        <f t="shared" si="39"/>
        <v>0.6970055357081465</v>
      </c>
      <c r="S134">
        <f t="shared" si="40"/>
        <v>0.77231529408523658</v>
      </c>
      <c r="T134">
        <f t="shared" si="41"/>
        <v>0.74532606522132061</v>
      </c>
      <c r="U134">
        <f t="shared" si="42"/>
        <v>0.70646379742743526</v>
      </c>
      <c r="V134">
        <f t="shared" si="43"/>
        <v>0.90777235118710553</v>
      </c>
      <c r="W134">
        <f t="shared" si="44"/>
        <v>0.89638719049086124</v>
      </c>
      <c r="X134">
        <f t="shared" si="45"/>
        <v>0.88367878123511578</v>
      </c>
    </row>
    <row r="135" spans="4:24" x14ac:dyDescent="0.3">
      <c r="D135">
        <v>31.377258933660382</v>
      </c>
      <c r="E135">
        <v>16.039682166002773</v>
      </c>
      <c r="F135">
        <v>24.528954102051831</v>
      </c>
      <c r="G135">
        <f t="shared" si="34"/>
        <v>14.010857297639983</v>
      </c>
      <c r="H135">
        <f t="shared" si="34"/>
        <v>14.752361412031716</v>
      </c>
      <c r="I135">
        <f t="shared" si="34"/>
        <v>16.406029733645838</v>
      </c>
      <c r="J135">
        <f t="shared" si="35"/>
        <v>6.2208019042484786</v>
      </c>
      <c r="K135">
        <f t="shared" si="35"/>
        <v>6.9687240579263854</v>
      </c>
      <c r="L135">
        <f t="shared" si="35"/>
        <v>8.1000329277288632</v>
      </c>
      <c r="M135">
        <f t="shared" si="36"/>
        <v>4.1921918920568473</v>
      </c>
      <c r="N135">
        <f t="shared" si="36"/>
        <v>4.6296050148216619</v>
      </c>
      <c r="O135">
        <f t="shared" si="36"/>
        <v>5.11639993824872</v>
      </c>
      <c r="P135">
        <f t="shared" si="37"/>
        <v>0.74041489569397345</v>
      </c>
      <c r="Q135">
        <f t="shared" si="38"/>
        <v>0.7273233112119647</v>
      </c>
      <c r="R135">
        <f t="shared" si="39"/>
        <v>0.6990892687454402</v>
      </c>
      <c r="S135">
        <f t="shared" si="40"/>
        <v>0.77404900652147279</v>
      </c>
      <c r="T135">
        <f t="shared" si="41"/>
        <v>0.74719801829475918</v>
      </c>
      <c r="U135">
        <f t="shared" si="42"/>
        <v>0.70850968710854834</v>
      </c>
      <c r="V135">
        <f t="shared" si="43"/>
        <v>0.90859669244482899</v>
      </c>
      <c r="W135">
        <f t="shared" si="44"/>
        <v>0.89730178107847158</v>
      </c>
      <c r="X135">
        <f t="shared" si="45"/>
        <v>0.88469111881562512</v>
      </c>
    </row>
    <row r="136" spans="4:24" x14ac:dyDescent="0.3">
      <c r="D136">
        <v>31.614965440733567</v>
      </c>
      <c r="E136">
        <v>16.161194909684614</v>
      </c>
      <c r="F136">
        <v>24.714779511915861</v>
      </c>
      <c r="G136">
        <f t="shared" si="34"/>
        <v>14.010857297639983</v>
      </c>
      <c r="H136">
        <f t="shared" si="34"/>
        <v>14.752361412031716</v>
      </c>
      <c r="I136">
        <f t="shared" si="34"/>
        <v>16.406029733645838</v>
      </c>
      <c r="J136">
        <f t="shared" si="35"/>
        <v>6.2208019042484786</v>
      </c>
      <c r="K136">
        <f t="shared" si="35"/>
        <v>6.9687240579263854</v>
      </c>
      <c r="L136">
        <f t="shared" si="35"/>
        <v>8.1000329277288632</v>
      </c>
      <c r="M136">
        <f t="shared" si="36"/>
        <v>4.1921918920568473</v>
      </c>
      <c r="N136">
        <f t="shared" si="36"/>
        <v>4.6296050148216619</v>
      </c>
      <c r="O136">
        <f t="shared" si="36"/>
        <v>5.11639993824872</v>
      </c>
      <c r="P136">
        <f t="shared" si="37"/>
        <v>0.74229619444850592</v>
      </c>
      <c r="Q136">
        <f t="shared" si="38"/>
        <v>0.72926479615595341</v>
      </c>
      <c r="R136">
        <f t="shared" si="39"/>
        <v>0.70114918172299634</v>
      </c>
      <c r="S136">
        <f t="shared" si="40"/>
        <v>0.7757603713876523</v>
      </c>
      <c r="T136">
        <f t="shared" si="41"/>
        <v>0.74904681945240192</v>
      </c>
      <c r="U136">
        <f t="shared" si="42"/>
        <v>0.71053181407449906</v>
      </c>
      <c r="V136">
        <f t="shared" si="43"/>
        <v>0.90940825419374915</v>
      </c>
      <c r="W136">
        <f t="shared" si="44"/>
        <v>0.89820239340300023</v>
      </c>
      <c r="X136">
        <f t="shared" si="45"/>
        <v>0.88568823186190404</v>
      </c>
    </row>
    <row r="137" spans="4:24" x14ac:dyDescent="0.3">
      <c r="D137">
        <v>31.852671947806751</v>
      </c>
      <c r="E137">
        <v>16.282707653366455</v>
      </c>
      <c r="F137">
        <v>24.900604921779891</v>
      </c>
      <c r="G137">
        <f t="shared" si="34"/>
        <v>14.010857297639983</v>
      </c>
      <c r="H137">
        <f t="shared" si="34"/>
        <v>14.752361412031716</v>
      </c>
      <c r="I137">
        <f t="shared" si="34"/>
        <v>16.406029733645838</v>
      </c>
      <c r="J137">
        <f t="shared" si="35"/>
        <v>6.2208019042484786</v>
      </c>
      <c r="K137">
        <f t="shared" si="35"/>
        <v>6.9687240579263854</v>
      </c>
      <c r="L137">
        <f t="shared" si="35"/>
        <v>8.1000329277288632</v>
      </c>
      <c r="M137">
        <f t="shared" si="36"/>
        <v>4.1921918920568473</v>
      </c>
      <c r="N137">
        <f t="shared" si="36"/>
        <v>4.6296050148216619</v>
      </c>
      <c r="O137">
        <f t="shared" si="36"/>
        <v>5.11639993824872</v>
      </c>
      <c r="P137">
        <f t="shared" si="37"/>
        <v>0.74415457764733417</v>
      </c>
      <c r="Q137">
        <f t="shared" si="38"/>
        <v>0.73118312107944194</v>
      </c>
      <c r="R137">
        <f t="shared" si="39"/>
        <v>0.70318564097263003</v>
      </c>
      <c r="S137">
        <f t="shared" si="40"/>
        <v>0.77744978501958051</v>
      </c>
      <c r="T137">
        <f t="shared" si="41"/>
        <v>0.75087285989662711</v>
      </c>
      <c r="U137">
        <f t="shared" si="42"/>
        <v>0.71253055088324957</v>
      </c>
      <c r="V137">
        <f t="shared" si="43"/>
        <v>0.91020731574087055</v>
      </c>
      <c r="W137">
        <f t="shared" si="44"/>
        <v>0.89908932819413889</v>
      </c>
      <c r="X137">
        <f t="shared" si="45"/>
        <v>0.8866704420947692</v>
      </c>
    </row>
    <row r="138" spans="4:24" x14ac:dyDescent="0.3">
      <c r="D138">
        <v>32.090378454879939</v>
      </c>
      <c r="E138">
        <v>16.404220397048295</v>
      </c>
      <c r="F138">
        <v>25.086430331643921</v>
      </c>
      <c r="G138">
        <f t="shared" si="34"/>
        <v>14.010857297639983</v>
      </c>
      <c r="H138">
        <f t="shared" si="34"/>
        <v>14.752361412031716</v>
      </c>
      <c r="I138">
        <f t="shared" si="34"/>
        <v>16.406029733645838</v>
      </c>
      <c r="J138">
        <f t="shared" si="35"/>
        <v>6.2208019042484786</v>
      </c>
      <c r="K138">
        <f t="shared" si="35"/>
        <v>6.9687240579263854</v>
      </c>
      <c r="L138">
        <f t="shared" si="35"/>
        <v>8.1000329277288632</v>
      </c>
      <c r="M138">
        <f t="shared" si="36"/>
        <v>4.1921918920568473</v>
      </c>
      <c r="N138">
        <f t="shared" si="36"/>
        <v>4.6296050148216619</v>
      </c>
      <c r="O138">
        <f t="shared" si="36"/>
        <v>5.11639993824872</v>
      </c>
      <c r="P138">
        <f t="shared" si="37"/>
        <v>0.74599042612303745</v>
      </c>
      <c r="Q138">
        <f t="shared" si="38"/>
        <v>0.73307866146233491</v>
      </c>
      <c r="R138">
        <f t="shared" si="39"/>
        <v>0.70519900603009156</v>
      </c>
      <c r="S138">
        <f t="shared" si="40"/>
        <v>0.77911763498841025</v>
      </c>
      <c r="T138">
        <f t="shared" si="41"/>
        <v>0.7526765226660308</v>
      </c>
      <c r="U138">
        <f t="shared" si="42"/>
        <v>0.71450626300848574</v>
      </c>
      <c r="V138">
        <f t="shared" si="43"/>
        <v>0.91099414856771832</v>
      </c>
      <c r="W138">
        <f t="shared" si="44"/>
        <v>0.89996287789995155</v>
      </c>
      <c r="X138">
        <f t="shared" si="45"/>
        <v>0.88763806254836441</v>
      </c>
    </row>
    <row r="139" spans="4:24" x14ac:dyDescent="0.3">
      <c r="D139">
        <v>32.328084961953124</v>
      </c>
      <c r="E139">
        <v>16.525733140730136</v>
      </c>
      <c r="F139">
        <v>25.272255741507951</v>
      </c>
      <c r="G139">
        <f t="shared" si="34"/>
        <v>14.010857297639983</v>
      </c>
      <c r="H139">
        <f t="shared" si="34"/>
        <v>14.752361412031716</v>
      </c>
      <c r="I139">
        <f t="shared" si="34"/>
        <v>16.406029733645838</v>
      </c>
      <c r="J139">
        <f t="shared" si="35"/>
        <v>6.2208019042484786</v>
      </c>
      <c r="K139">
        <f t="shared" si="35"/>
        <v>6.9687240579263854</v>
      </c>
      <c r="L139">
        <f t="shared" si="35"/>
        <v>8.1000329277288632</v>
      </c>
      <c r="M139">
        <f t="shared" si="36"/>
        <v>4.1921918920568473</v>
      </c>
      <c r="N139">
        <f t="shared" si="36"/>
        <v>4.6296050148216619</v>
      </c>
      <c r="O139">
        <f t="shared" si="36"/>
        <v>5.11639993824872</v>
      </c>
      <c r="P139">
        <f t="shared" si="37"/>
        <v>0.74780411290698545</v>
      </c>
      <c r="Q139">
        <f t="shared" si="38"/>
        <v>0.73495178532365901</v>
      </c>
      <c r="R139">
        <f t="shared" si="39"/>
        <v>0.70718962977438915</v>
      </c>
      <c r="S139">
        <f t="shared" si="40"/>
        <v>0.78076430032777155</v>
      </c>
      <c r="T139">
        <f t="shared" si="41"/>
        <v>0.75445818283208899</v>
      </c>
      <c r="U139">
        <f t="shared" si="42"/>
        <v>0.7164593089901139</v>
      </c>
      <c r="V139">
        <f t="shared" si="43"/>
        <v>0.9117690165963781</v>
      </c>
      <c r="W139">
        <f t="shared" si="44"/>
        <v>0.90082332696318324</v>
      </c>
      <c r="X139">
        <f t="shared" si="45"/>
        <v>0.88859139785378261</v>
      </c>
    </row>
    <row r="140" spans="4:24" x14ac:dyDescent="0.3">
      <c r="D140">
        <v>32.565791469026308</v>
      </c>
      <c r="E140">
        <v>16.647245884411976</v>
      </c>
      <c r="F140">
        <v>25.458081151371982</v>
      </c>
      <c r="G140">
        <f t="shared" si="34"/>
        <v>14.010857297639983</v>
      </c>
      <c r="H140">
        <f t="shared" si="34"/>
        <v>14.752361412031716</v>
      </c>
      <c r="I140">
        <f t="shared" si="34"/>
        <v>16.406029733645838</v>
      </c>
      <c r="J140">
        <f t="shared" si="35"/>
        <v>6.2208019042484786</v>
      </c>
      <c r="K140">
        <f t="shared" si="35"/>
        <v>6.9687240579263854</v>
      </c>
      <c r="L140">
        <f t="shared" si="35"/>
        <v>8.1000329277288632</v>
      </c>
      <c r="M140">
        <f t="shared" si="36"/>
        <v>4.1921918920568473</v>
      </c>
      <c r="N140">
        <f t="shared" si="36"/>
        <v>4.6296050148216619</v>
      </c>
      <c r="O140">
        <f t="shared" si="36"/>
        <v>5.11639993824872</v>
      </c>
      <c r="P140">
        <f t="shared" si="37"/>
        <v>0.74959600341320209</v>
      </c>
      <c r="Q140">
        <f t="shared" si="38"/>
        <v>0.73680285339046114</v>
      </c>
      <c r="R140">
        <f t="shared" si="39"/>
        <v>0.70915785856432667</v>
      </c>
      <c r="S140">
        <f t="shared" si="40"/>
        <v>0.78239015175433813</v>
      </c>
      <c r="T140">
        <f t="shared" si="41"/>
        <v>0.75621820769067771</v>
      </c>
      <c r="U140">
        <f t="shared" si="42"/>
        <v>0.71839004058153877</v>
      </c>
      <c r="V140">
        <f t="shared" si="43"/>
        <v>0.91253217644494888</v>
      </c>
      <c r="W140">
        <f t="shared" si="44"/>
        <v>0.90167095208679648</v>
      </c>
      <c r="X140">
        <f t="shared" si="45"/>
        <v>0.88953074451189051</v>
      </c>
    </row>
    <row r="141" spans="4:24" x14ac:dyDescent="0.3">
      <c r="D141">
        <v>32.803497976099493</v>
      </c>
      <c r="E141">
        <v>16.768758628093817</v>
      </c>
      <c r="F141">
        <v>25.643906561236012</v>
      </c>
      <c r="G141">
        <f t="shared" si="34"/>
        <v>14.010857297639983</v>
      </c>
      <c r="H141">
        <f t="shared" si="34"/>
        <v>14.752361412031716</v>
      </c>
      <c r="I141">
        <f t="shared" si="34"/>
        <v>16.406029733645838</v>
      </c>
      <c r="J141">
        <f t="shared" si="35"/>
        <v>6.2208019042484786</v>
      </c>
      <c r="K141">
        <f t="shared" si="35"/>
        <v>6.9687240579263854</v>
      </c>
      <c r="L141">
        <f t="shared" si="35"/>
        <v>8.1000329277288632</v>
      </c>
      <c r="M141">
        <f t="shared" si="36"/>
        <v>4.1921918920568473</v>
      </c>
      <c r="N141">
        <f t="shared" si="36"/>
        <v>4.6296050148216619</v>
      </c>
      <c r="O141">
        <f t="shared" si="36"/>
        <v>5.11639993824872</v>
      </c>
      <c r="P141">
        <f t="shared" si="37"/>
        <v>0.75136645561755833</v>
      </c>
      <c r="Q141">
        <f t="shared" si="38"/>
        <v>0.7386322192626712</v>
      </c>
      <c r="R141">
        <f t="shared" si="39"/>
        <v>0.71110403237229003</v>
      </c>
      <c r="S141">
        <f t="shared" si="40"/>
        <v>0.78399555188203196</v>
      </c>
      <c r="T141">
        <f t="shared" si="41"/>
        <v>0.75795695694859222</v>
      </c>
      <c r="U141">
        <f t="shared" si="42"/>
        <v>0.72029880289378179</v>
      </c>
      <c r="V141">
        <f t="shared" si="43"/>
        <v>0.91328387767288899</v>
      </c>
      <c r="W141">
        <f t="shared" si="44"/>
        <v>0.90250602248921052</v>
      </c>
      <c r="X141">
        <f t="shared" si="45"/>
        <v>0.89045639115582043</v>
      </c>
    </row>
    <row r="142" spans="4:24" x14ac:dyDescent="0.3">
      <c r="D142">
        <v>33.041204483172677</v>
      </c>
      <c r="E142">
        <v>16.890271371775658</v>
      </c>
      <c r="F142">
        <v>25.829731971100042</v>
      </c>
      <c r="G142">
        <f t="shared" si="34"/>
        <v>14.010857297639983</v>
      </c>
      <c r="H142">
        <f t="shared" si="34"/>
        <v>14.752361412031716</v>
      </c>
      <c r="I142">
        <f t="shared" si="34"/>
        <v>16.406029733645838</v>
      </c>
      <c r="J142">
        <f t="shared" si="35"/>
        <v>6.2208019042484786</v>
      </c>
      <c r="K142">
        <f t="shared" si="35"/>
        <v>6.9687240579263854</v>
      </c>
      <c r="L142">
        <f t="shared" si="35"/>
        <v>8.1000329277288632</v>
      </c>
      <c r="M142">
        <f t="shared" si="36"/>
        <v>4.1921918920568473</v>
      </c>
      <c r="N142">
        <f t="shared" si="36"/>
        <v>4.6296050148216619</v>
      </c>
      <c r="O142">
        <f t="shared" si="36"/>
        <v>5.11639993824872</v>
      </c>
      <c r="P142">
        <f t="shared" si="37"/>
        <v>0.75311582023241552</v>
      </c>
      <c r="Q142">
        <f t="shared" si="38"/>
        <v>0.74044022957402322</v>
      </c>
      <c r="R142">
        <f t="shared" si="39"/>
        <v>0.71302848491531845</v>
      </c>
      <c r="S142">
        <f t="shared" si="40"/>
        <v>0.7855808554300604</v>
      </c>
      <c r="T142">
        <f t="shared" si="41"/>
        <v>0.75967478290519064</v>
      </c>
      <c r="U142">
        <f t="shared" si="42"/>
        <v>0.72218593453648605</v>
      </c>
      <c r="V142">
        <f t="shared" si="43"/>
        <v>0.91402436301671208</v>
      </c>
      <c r="W142">
        <f t="shared" si="44"/>
        <v>0.90332880014970329</v>
      </c>
      <c r="X142">
        <f t="shared" si="45"/>
        <v>0.89136861880357476</v>
      </c>
    </row>
    <row r="143" spans="4:24" x14ac:dyDescent="0.3">
      <c r="D143">
        <v>33.278910990245862</v>
      </c>
      <c r="E143">
        <v>17.011784115457498</v>
      </c>
      <c r="F143">
        <v>26.015557380964072</v>
      </c>
      <c r="G143">
        <f t="shared" si="34"/>
        <v>14.010857297639983</v>
      </c>
      <c r="H143">
        <f t="shared" si="34"/>
        <v>14.752361412031716</v>
      </c>
      <c r="I143">
        <f t="shared" si="34"/>
        <v>16.406029733645838</v>
      </c>
      <c r="J143">
        <f t="shared" si="35"/>
        <v>6.2208019042484786</v>
      </c>
      <c r="K143">
        <f t="shared" si="35"/>
        <v>6.9687240579263854</v>
      </c>
      <c r="L143">
        <f t="shared" si="35"/>
        <v>8.1000329277288632</v>
      </c>
      <c r="M143">
        <f t="shared" si="36"/>
        <v>4.1921918920568473</v>
      </c>
      <c r="N143">
        <f t="shared" si="36"/>
        <v>4.6296050148216619</v>
      </c>
      <c r="O143">
        <f t="shared" si="36"/>
        <v>5.11639993824872</v>
      </c>
      <c r="P143">
        <f t="shared" si="37"/>
        <v>0.75484444087682578</v>
      </c>
      <c r="Q143">
        <f t="shared" si="38"/>
        <v>0.74222722414911402</v>
      </c>
      <c r="R143">
        <f t="shared" si="39"/>
        <v>0.71493154378349755</v>
      </c>
      <c r="S143">
        <f t="shared" si="40"/>
        <v>0.7871464094249726</v>
      </c>
      <c r="T143">
        <f t="shared" si="41"/>
        <v>0.76137203062928904</v>
      </c>
      <c r="U143">
        <f t="shared" si="42"/>
        <v>0.72405176775586266</v>
      </c>
      <c r="V143">
        <f t="shared" si="43"/>
        <v>0.91475386861646613</v>
      </c>
      <c r="W143">
        <f t="shared" si="44"/>
        <v>0.90413954004440211</v>
      </c>
      <c r="X143">
        <f t="shared" si="45"/>
        <v>0.89226770110116771</v>
      </c>
    </row>
    <row r="144" spans="4:24" x14ac:dyDescent="0.3">
      <c r="D144">
        <v>33.516617497319046</v>
      </c>
      <c r="E144">
        <v>17.133296859139339</v>
      </c>
      <c r="F144">
        <v>26.201382790828102</v>
      </c>
      <c r="G144">
        <f t="shared" si="34"/>
        <v>14.010857297639983</v>
      </c>
      <c r="H144">
        <f t="shared" si="34"/>
        <v>14.752361412031716</v>
      </c>
      <c r="I144">
        <f t="shared" si="34"/>
        <v>16.406029733645838</v>
      </c>
      <c r="J144">
        <f t="shared" si="35"/>
        <v>6.2208019042484786</v>
      </c>
      <c r="K144">
        <f t="shared" si="35"/>
        <v>6.9687240579263854</v>
      </c>
      <c r="L144">
        <f t="shared" si="35"/>
        <v>8.1000329277288632</v>
      </c>
      <c r="M144">
        <f t="shared" si="36"/>
        <v>4.1921918920568473</v>
      </c>
      <c r="N144">
        <f t="shared" si="36"/>
        <v>4.6296050148216619</v>
      </c>
      <c r="O144">
        <f t="shared" si="36"/>
        <v>5.11639993824872</v>
      </c>
      <c r="P144">
        <f t="shared" si="37"/>
        <v>0.7565526542424067</v>
      </c>
      <c r="Q144">
        <f t="shared" si="38"/>
        <v>0.74399353615669461</v>
      </c>
      <c r="R144">
        <f t="shared" si="39"/>
        <v>0.7168135305657144</v>
      </c>
      <c r="S144">
        <f t="shared" si="40"/>
        <v>0.78869255339692179</v>
      </c>
      <c r="T144">
        <f t="shared" si="41"/>
        <v>0.76304903813143787</v>
      </c>
      <c r="U144">
        <f t="shared" si="42"/>
        <v>0.72589662856963388</v>
      </c>
      <c r="V144">
        <f t="shared" si="43"/>
        <v>0.91547262423340714</v>
      </c>
      <c r="W144">
        <f t="shared" si="44"/>
        <v>0.90493849037328011</v>
      </c>
      <c r="X144">
        <f t="shared" si="45"/>
        <v>0.89315390455670463</v>
      </c>
    </row>
    <row r="145" spans="4:24" x14ac:dyDescent="0.3">
      <c r="D145">
        <v>33.754324004392231</v>
      </c>
      <c r="E145">
        <v>17.254809602821179</v>
      </c>
      <c r="F145">
        <v>26.387208200692132</v>
      </c>
      <c r="G145">
        <f t="shared" si="34"/>
        <v>14.010857297639983</v>
      </c>
      <c r="H145">
        <f t="shared" si="34"/>
        <v>14.752361412031716</v>
      </c>
      <c r="I145">
        <f t="shared" si="34"/>
        <v>16.406029733645838</v>
      </c>
      <c r="J145">
        <f t="shared" si="35"/>
        <v>6.2208019042484786</v>
      </c>
      <c r="K145">
        <f t="shared" si="35"/>
        <v>6.9687240579263854</v>
      </c>
      <c r="L145">
        <f t="shared" si="35"/>
        <v>8.1000329277288632</v>
      </c>
      <c r="M145">
        <f t="shared" si="36"/>
        <v>4.1921918920568473</v>
      </c>
      <c r="N145">
        <f t="shared" si="36"/>
        <v>4.6296050148216619</v>
      </c>
      <c r="O145">
        <f t="shared" si="36"/>
        <v>5.11639993824872</v>
      </c>
      <c r="P145">
        <f t="shared" si="37"/>
        <v>0.7582407902549958</v>
      </c>
      <c r="Q145">
        <f t="shared" si="38"/>
        <v>0.74573949225927105</v>
      </c>
      <c r="R145">
        <f t="shared" si="39"/>
        <v>0.71867476097281258</v>
      </c>
      <c r="S145">
        <f t="shared" si="40"/>
        <v>0.79021961957030717</v>
      </c>
      <c r="T145">
        <f t="shared" si="41"/>
        <v>0.76470613653169728</v>
      </c>
      <c r="U145">
        <f t="shared" si="42"/>
        <v>0.72772083689902467</v>
      </c>
      <c r="V145">
        <f t="shared" si="43"/>
        <v>0.91618085345925859</v>
      </c>
      <c r="W145">
        <f t="shared" si="44"/>
        <v>0.90572589277854498</v>
      </c>
      <c r="X145">
        <f t="shared" si="45"/>
        <v>0.89402748876578608</v>
      </c>
    </row>
    <row r="146" spans="4:24" x14ac:dyDescent="0.3">
      <c r="D146">
        <v>33.992030511465416</v>
      </c>
      <c r="E146">
        <v>17.37632234650302</v>
      </c>
      <c r="F146">
        <v>26.573033610556163</v>
      </c>
      <c r="G146">
        <f t="shared" si="34"/>
        <v>14.010857297639983</v>
      </c>
      <c r="H146">
        <f t="shared" si="34"/>
        <v>14.752361412031716</v>
      </c>
      <c r="I146">
        <f t="shared" si="34"/>
        <v>16.406029733645838</v>
      </c>
      <c r="J146">
        <f t="shared" si="35"/>
        <v>6.2208019042484786</v>
      </c>
      <c r="K146">
        <f t="shared" si="35"/>
        <v>6.9687240579263854</v>
      </c>
      <c r="L146">
        <f t="shared" si="35"/>
        <v>8.1000329277288632</v>
      </c>
      <c r="M146">
        <f t="shared" si="36"/>
        <v>4.1921918920568473</v>
      </c>
      <c r="N146">
        <f t="shared" si="36"/>
        <v>4.6296050148216619</v>
      </c>
      <c r="O146">
        <f t="shared" si="36"/>
        <v>5.11639993824872</v>
      </c>
      <c r="P146">
        <f t="shared" si="37"/>
        <v>0.75990917223219345</v>
      </c>
      <c r="Q146">
        <f t="shared" si="38"/>
        <v>0.74746541275910627</v>
      </c>
      <c r="R146">
        <f t="shared" si="39"/>
        <v>0.72051554495818948</v>
      </c>
      <c r="S146">
        <f t="shared" si="40"/>
        <v>0.79172793304896949</v>
      </c>
      <c r="T146">
        <f t="shared" si="41"/>
        <v>0.7663436502230323</v>
      </c>
      <c r="U146">
        <f t="shared" si="42"/>
        <v>0.72952470669785729</v>
      </c>
      <c r="V146">
        <f t="shared" si="43"/>
        <v>0.91687877391742723</v>
      </c>
      <c r="W146">
        <f t="shared" si="44"/>
        <v>0.90650198255479475</v>
      </c>
      <c r="X146">
        <f t="shared" si="45"/>
        <v>0.89488870662860076</v>
      </c>
    </row>
    <row r="147" spans="4:24" x14ac:dyDescent="0.3">
      <c r="D147">
        <v>34.2297370185386</v>
      </c>
      <c r="E147">
        <v>17.497835090184861</v>
      </c>
      <c r="F147">
        <v>26.758859020420193</v>
      </c>
      <c r="G147">
        <f t="shared" si="34"/>
        <v>14.010857297639983</v>
      </c>
      <c r="H147">
        <f t="shared" si="34"/>
        <v>14.752361412031716</v>
      </c>
      <c r="I147">
        <f t="shared" si="34"/>
        <v>16.406029733645838</v>
      </c>
      <c r="J147">
        <f t="shared" si="35"/>
        <v>6.2208019042484786</v>
      </c>
      <c r="K147">
        <f t="shared" si="35"/>
        <v>6.9687240579263854</v>
      </c>
      <c r="L147">
        <f t="shared" si="35"/>
        <v>8.1000329277288632</v>
      </c>
      <c r="M147">
        <f t="shared" si="36"/>
        <v>4.1921918920568473</v>
      </c>
      <c r="N147">
        <f t="shared" si="36"/>
        <v>4.6296050148216619</v>
      </c>
      <c r="O147">
        <f t="shared" si="36"/>
        <v>5.11639993824872</v>
      </c>
      <c r="P147">
        <f t="shared" si="37"/>
        <v>0.76155811703689869</v>
      </c>
      <c r="Q147">
        <f t="shared" si="38"/>
        <v>0.74917161174070013</v>
      </c>
      <c r="R147">
        <f t="shared" si="39"/>
        <v>0.72233618683587542</v>
      </c>
      <c r="S147">
        <f t="shared" si="40"/>
        <v>0.79321781199610719</v>
      </c>
      <c r="T147">
        <f t="shared" si="41"/>
        <v>0.76796189703044604</v>
      </c>
      <c r="U147">
        <f t="shared" si="42"/>
        <v>0.73130854607880313</v>
      </c>
      <c r="V147">
        <f t="shared" si="43"/>
        <v>0.91756659745653002</v>
      </c>
      <c r="W147">
        <f t="shared" si="44"/>
        <v>0.90726698885129287</v>
      </c>
      <c r="X147">
        <f t="shared" si="45"/>
        <v>0.89573780455905527</v>
      </c>
    </row>
    <row r="148" spans="4:24" x14ac:dyDescent="0.3">
      <c r="D148">
        <v>34.467443525611785</v>
      </c>
      <c r="E148">
        <v>17.619347833866701</v>
      </c>
      <c r="F148">
        <v>26.944684430284223</v>
      </c>
      <c r="G148">
        <f t="shared" si="34"/>
        <v>14.010857297639983</v>
      </c>
      <c r="H148">
        <f t="shared" si="34"/>
        <v>14.752361412031716</v>
      </c>
      <c r="I148">
        <f t="shared" si="34"/>
        <v>16.406029733645838</v>
      </c>
      <c r="J148">
        <f t="shared" si="35"/>
        <v>6.2208019042484786</v>
      </c>
      <c r="K148">
        <f t="shared" si="35"/>
        <v>6.9687240579263854</v>
      </c>
      <c r="L148">
        <f t="shared" si="35"/>
        <v>8.1000329277288632</v>
      </c>
      <c r="M148">
        <f t="shared" si="36"/>
        <v>4.1921918920568473</v>
      </c>
      <c r="N148">
        <f t="shared" si="36"/>
        <v>4.6296050148216619</v>
      </c>
      <c r="O148">
        <f t="shared" si="36"/>
        <v>5.11639993824872</v>
      </c>
      <c r="P148">
        <f t="shared" si="37"/>
        <v>0.76318793522694017</v>
      </c>
      <c r="Q148">
        <f t="shared" si="38"/>
        <v>0.7508583972098325</v>
      </c>
      <c r="R148">
        <f t="shared" si="39"/>
        <v>0.7241369853961348</v>
      </c>
      <c r="S148">
        <f t="shared" si="40"/>
        <v>0.79468956780907452</v>
      </c>
      <c r="T148">
        <f t="shared" si="41"/>
        <v>0.76956118836596288</v>
      </c>
      <c r="U148">
        <f t="shared" si="42"/>
        <v>0.73307265743684813</v>
      </c>
      <c r="V148">
        <f t="shared" si="43"/>
        <v>0.91824453033656561</v>
      </c>
      <c r="W148">
        <f t="shared" si="44"/>
        <v>0.90802113486670077</v>
      </c>
      <c r="X148">
        <f t="shared" si="45"/>
        <v>0.89657502268627487</v>
      </c>
    </row>
    <row r="149" spans="4:24" x14ac:dyDescent="0.3">
      <c r="D149">
        <v>34.705150032684969</v>
      </c>
      <c r="E149">
        <v>17.740860577548542</v>
      </c>
      <c r="F149">
        <v>27.130509840148253</v>
      </c>
      <c r="G149">
        <f t="shared" si="34"/>
        <v>14.010857297639983</v>
      </c>
      <c r="H149">
        <f t="shared" si="34"/>
        <v>14.752361412031716</v>
      </c>
      <c r="I149">
        <f t="shared" si="34"/>
        <v>16.406029733645838</v>
      </c>
      <c r="J149">
        <f t="shared" si="35"/>
        <v>6.2208019042484786</v>
      </c>
      <c r="K149">
        <f t="shared" si="35"/>
        <v>6.9687240579263854</v>
      </c>
      <c r="L149">
        <f t="shared" si="35"/>
        <v>8.1000329277288632</v>
      </c>
      <c r="M149">
        <f t="shared" si="36"/>
        <v>4.1921918920568473</v>
      </c>
      <c r="N149">
        <f t="shared" si="36"/>
        <v>4.6296050148216619</v>
      </c>
      <c r="O149">
        <f t="shared" si="36"/>
        <v>5.11639993824872</v>
      </c>
      <c r="P149">
        <f t="shared" si="37"/>
        <v>0.76479893120090547</v>
      </c>
      <c r="Q149">
        <f t="shared" si="38"/>
        <v>0.75252607122925119</v>
      </c>
      <c r="R149">
        <f t="shared" si="39"/>
        <v>0.72591823401863798</v>
      </c>
      <c r="S149">
        <f t="shared" si="40"/>
        <v>0.79614350528921729</v>
      </c>
      <c r="T149">
        <f t="shared" si="41"/>
        <v>0.77114182937957565</v>
      </c>
      <c r="U149">
        <f t="shared" si="42"/>
        <v>0.73481733757002177</v>
      </c>
      <c r="V149">
        <f t="shared" si="43"/>
        <v>0.91891277340805255</v>
      </c>
      <c r="W149">
        <f t="shared" si="44"/>
        <v>0.90876463803658802</v>
      </c>
      <c r="X149">
        <f t="shared" si="45"/>
        <v>0.89740059504879144</v>
      </c>
    </row>
    <row r="150" spans="4:24" x14ac:dyDescent="0.3">
      <c r="D150">
        <v>34.942856539758154</v>
      </c>
      <c r="E150">
        <v>17.862373321230383</v>
      </c>
      <c r="F150">
        <v>27.316335250012283</v>
      </c>
      <c r="G150">
        <f t="shared" si="34"/>
        <v>14.010857297639983</v>
      </c>
      <c r="H150">
        <f t="shared" si="34"/>
        <v>14.752361412031716</v>
      </c>
      <c r="I150">
        <f t="shared" si="34"/>
        <v>16.406029733645838</v>
      </c>
      <c r="J150">
        <f t="shared" si="35"/>
        <v>6.2208019042484786</v>
      </c>
      <c r="K150">
        <f t="shared" si="35"/>
        <v>6.9687240579263854</v>
      </c>
      <c r="L150">
        <f t="shared" si="35"/>
        <v>8.1000329277288632</v>
      </c>
      <c r="M150">
        <f t="shared" si="36"/>
        <v>4.1921918920568473</v>
      </c>
      <c r="N150">
        <f t="shared" si="36"/>
        <v>4.6296050148216619</v>
      </c>
      <c r="O150">
        <f t="shared" si="36"/>
        <v>5.11639993824872</v>
      </c>
      <c r="P150">
        <f t="shared" si="37"/>
        <v>0.7663914033402629</v>
      </c>
      <c r="Q150">
        <f t="shared" si="38"/>
        <v>0.75417493005107927</v>
      </c>
      <c r="R150">
        <f t="shared" si="39"/>
        <v>0.72768022078323569</v>
      </c>
      <c r="S150">
        <f t="shared" si="40"/>
        <v>0.79757992280689993</v>
      </c>
      <c r="T150">
        <f t="shared" si="41"/>
        <v>0.77270411910626202</v>
      </c>
      <c r="U150">
        <f t="shared" si="42"/>
        <v>0.73654287779744676</v>
      </c>
      <c r="V150">
        <f t="shared" si="43"/>
        <v>0.91957152228443517</v>
      </c>
      <c r="W150">
        <f t="shared" si="44"/>
        <v>0.90949771021402648</v>
      </c>
      <c r="X150">
        <f t="shared" si="45"/>
        <v>0.89821474978172011</v>
      </c>
    </row>
    <row r="151" spans="4:24" x14ac:dyDescent="0.3">
      <c r="D151">
        <v>35.180563046831338</v>
      </c>
      <c r="E151">
        <v>17.983886064912223</v>
      </c>
      <c r="F151">
        <v>27.502160659876314</v>
      </c>
      <c r="G151">
        <f t="shared" si="34"/>
        <v>14.010857297639983</v>
      </c>
      <c r="H151">
        <f t="shared" si="34"/>
        <v>14.752361412031716</v>
      </c>
      <c r="I151">
        <f t="shared" si="34"/>
        <v>16.406029733645838</v>
      </c>
      <c r="J151">
        <f t="shared" si="35"/>
        <v>6.2208019042484786</v>
      </c>
      <c r="K151">
        <f t="shared" si="35"/>
        <v>6.9687240579263854</v>
      </c>
      <c r="L151">
        <f t="shared" si="35"/>
        <v>8.1000329277288632</v>
      </c>
      <c r="M151">
        <f t="shared" si="36"/>
        <v>4.1921918920568473</v>
      </c>
      <c r="N151">
        <f t="shared" si="36"/>
        <v>4.6296050148216619</v>
      </c>
      <c r="O151">
        <f t="shared" si="36"/>
        <v>5.11639993824872</v>
      </c>
      <c r="P151">
        <f t="shared" si="37"/>
        <v>0.76796564414787549</v>
      </c>
      <c r="Q151">
        <f t="shared" si="38"/>
        <v>0.75580526424602512</v>
      </c>
      <c r="R151">
        <f t="shared" si="39"/>
        <v>0.72942322857838826</v>
      </c>
      <c r="S151">
        <f t="shared" si="40"/>
        <v>0.7989991124618705</v>
      </c>
      <c r="T151">
        <f t="shared" si="41"/>
        <v>0.77424835060917996</v>
      </c>
      <c r="U151">
        <f t="shared" si="42"/>
        <v>0.73824956407476283</v>
      </c>
      <c r="V151">
        <f t="shared" si="43"/>
        <v>0.9202209675080476</v>
      </c>
      <c r="W151">
        <f t="shared" si="44"/>
        <v>0.91022055784355793</v>
      </c>
      <c r="X151">
        <f t="shared" si="45"/>
        <v>0.89901770929721292</v>
      </c>
    </row>
    <row r="152" spans="4:24" x14ac:dyDescent="0.3">
      <c r="D152">
        <v>35.418269553904523</v>
      </c>
      <c r="E152">
        <v>18.105398808594064</v>
      </c>
      <c r="F152">
        <v>27.687986069740344</v>
      </c>
      <c r="G152">
        <f t="shared" si="34"/>
        <v>14.010857297639983</v>
      </c>
      <c r="H152">
        <f t="shared" si="34"/>
        <v>14.752361412031716</v>
      </c>
      <c r="I152">
        <f t="shared" si="34"/>
        <v>16.406029733645838</v>
      </c>
      <c r="J152">
        <f t="shared" si="35"/>
        <v>6.2208019042484786</v>
      </c>
      <c r="K152">
        <f t="shared" si="35"/>
        <v>6.9687240579263854</v>
      </c>
      <c r="L152">
        <f t="shared" si="35"/>
        <v>8.1000329277288632</v>
      </c>
      <c r="M152">
        <f t="shared" si="36"/>
        <v>4.1921918920568473</v>
      </c>
      <c r="N152">
        <f t="shared" si="36"/>
        <v>4.6296050148216619</v>
      </c>
      <c r="O152">
        <f t="shared" si="36"/>
        <v>5.11639993824872</v>
      </c>
      <c r="P152">
        <f t="shared" si="37"/>
        <v>0.76952194038299937</v>
      </c>
      <c r="Q152">
        <f t="shared" si="38"/>
        <v>0.75741735882946781</v>
      </c>
      <c r="R152">
        <f t="shared" si="39"/>
        <v>0.73114753520728559</v>
      </c>
      <c r="S152">
        <f t="shared" si="40"/>
        <v>0.80040136023910402</v>
      </c>
      <c r="T152">
        <f t="shared" si="41"/>
        <v>0.77577481111914337</v>
      </c>
      <c r="U152">
        <f t="shared" si="42"/>
        <v>0.739937677106977</v>
      </c>
      <c r="V152">
        <f t="shared" si="43"/>
        <v>0.92086129470991185</v>
      </c>
      <c r="W152">
        <f t="shared" si="44"/>
        <v>0.91093338212881492</v>
      </c>
      <c r="X152">
        <f t="shared" si="45"/>
        <v>0.89980969045846582</v>
      </c>
    </row>
    <row r="153" spans="4:24" x14ac:dyDescent="0.3">
      <c r="D153">
        <v>35.655976060977707</v>
      </c>
      <c r="E153">
        <v>18.226911552275904</v>
      </c>
      <c r="F153">
        <v>27.873811479604374</v>
      </c>
      <c r="G153">
        <f t="shared" si="34"/>
        <v>14.010857297639983</v>
      </c>
      <c r="H153">
        <f t="shared" si="34"/>
        <v>14.752361412031716</v>
      </c>
      <c r="I153">
        <f t="shared" si="34"/>
        <v>16.406029733645838</v>
      </c>
      <c r="J153">
        <f t="shared" si="35"/>
        <v>6.2208019042484786</v>
      </c>
      <c r="K153">
        <f t="shared" si="35"/>
        <v>6.9687240579263854</v>
      </c>
      <c r="L153">
        <f t="shared" si="35"/>
        <v>8.1000329277288632</v>
      </c>
      <c r="M153">
        <f t="shared" si="36"/>
        <v>4.1921918920568473</v>
      </c>
      <c r="N153">
        <f t="shared" si="36"/>
        <v>4.6296050148216619</v>
      </c>
      <c r="O153">
        <f t="shared" si="36"/>
        <v>5.11639993824872</v>
      </c>
      <c r="P153">
        <f t="shared" si="37"/>
        <v>0.77106057319286148</v>
      </c>
      <c r="Q153">
        <f t="shared" si="38"/>
        <v>0.75901149338449603</v>
      </c>
      <c r="R153">
        <f t="shared" si="39"/>
        <v>0.73285341349170474</v>
      </c>
      <c r="S153">
        <f t="shared" si="40"/>
        <v>0.80178694616026647</v>
      </c>
      <c r="T153">
        <f t="shared" si="41"/>
        <v>0.77728378217047933</v>
      </c>
      <c r="U153">
        <f t="shared" si="42"/>
        <v>0.74160749245879221</v>
      </c>
      <c r="V153">
        <f t="shared" si="43"/>
        <v>0.92149268476362933</v>
      </c>
      <c r="W153">
        <f t="shared" si="44"/>
        <v>0.91163637919405727</v>
      </c>
      <c r="X153">
        <f t="shared" si="45"/>
        <v>0.90059090474753989</v>
      </c>
    </row>
    <row r="154" spans="4:24" x14ac:dyDescent="0.3">
      <c r="D154">
        <v>35.893682568050892</v>
      </c>
      <c r="E154">
        <v>18.348424295957745</v>
      </c>
      <c r="F154">
        <v>28.059636889468404</v>
      </c>
      <c r="G154">
        <f t="shared" si="34"/>
        <v>14.010857297639983</v>
      </c>
      <c r="H154">
        <f t="shared" si="34"/>
        <v>14.752361412031716</v>
      </c>
      <c r="I154">
        <f t="shared" si="34"/>
        <v>16.406029733645838</v>
      </c>
      <c r="J154">
        <f t="shared" si="35"/>
        <v>6.2208019042484786</v>
      </c>
      <c r="K154">
        <f t="shared" si="35"/>
        <v>6.9687240579263854</v>
      </c>
      <c r="L154">
        <f t="shared" si="35"/>
        <v>8.1000329277288632</v>
      </c>
      <c r="M154">
        <f t="shared" si="36"/>
        <v>4.1921918920568473</v>
      </c>
      <c r="N154">
        <f t="shared" si="36"/>
        <v>4.6296050148216619</v>
      </c>
      <c r="O154">
        <f t="shared" si="36"/>
        <v>5.11639993824872</v>
      </c>
      <c r="P154">
        <f t="shared" si="37"/>
        <v>0.77258181824090022</v>
      </c>
      <c r="Q154">
        <f t="shared" si="38"/>
        <v>0.7605879421819709</v>
      </c>
      <c r="R154">
        <f t="shared" si="39"/>
        <v>0.73454113137364396</v>
      </c>
      <c r="S154">
        <f t="shared" si="40"/>
        <v>0.80315614443092898</v>
      </c>
      <c r="T154">
        <f t="shared" si="41"/>
        <v>0.77877553973336555</v>
      </c>
      <c r="U154">
        <f t="shared" si="42"/>
        <v>0.74325928066246927</v>
      </c>
      <c r="V154">
        <f t="shared" si="43"/>
        <v>0.92211531393361856</v>
      </c>
      <c r="W154">
        <f t="shared" si="44"/>
        <v>0.91232974023987723</v>
      </c>
      <c r="X154">
        <f t="shared" si="45"/>
        <v>0.90136155842724819</v>
      </c>
    </row>
    <row r="155" spans="4:24" x14ac:dyDescent="0.3">
      <c r="D155">
        <v>36.131389075124076</v>
      </c>
      <c r="E155">
        <v>18.469937039639586</v>
      </c>
      <c r="F155">
        <v>28.245462299332434</v>
      </c>
      <c r="G155">
        <f t="shared" si="34"/>
        <v>14.010857297639983</v>
      </c>
      <c r="H155">
        <f t="shared" si="34"/>
        <v>14.752361412031716</v>
      </c>
      <c r="I155">
        <f t="shared" si="34"/>
        <v>16.406029733645838</v>
      </c>
      <c r="J155">
        <f t="shared" si="35"/>
        <v>6.2208019042484786</v>
      </c>
      <c r="K155">
        <f t="shared" si="35"/>
        <v>6.9687240579263854</v>
      </c>
      <c r="L155">
        <f t="shared" si="35"/>
        <v>8.1000329277288632</v>
      </c>
      <c r="M155">
        <f t="shared" si="36"/>
        <v>4.1921918920568473</v>
      </c>
      <c r="N155">
        <f t="shared" si="36"/>
        <v>4.6296050148216619</v>
      </c>
      <c r="O155">
        <f t="shared" si="36"/>
        <v>5.11639993824872</v>
      </c>
      <c r="P155">
        <f t="shared" si="37"/>
        <v>0.77408594583176293</v>
      </c>
      <c r="Q155">
        <f t="shared" si="38"/>
        <v>0.76214697429768874</v>
      </c>
      <c r="R155">
        <f t="shared" si="39"/>
        <v>0.73621095201477738</v>
      </c>
      <c r="S155">
        <f t="shared" si="40"/>
        <v>0.80450922358366406</v>
      </c>
      <c r="T155">
        <f t="shared" si="41"/>
        <v>0.78025035434274415</v>
      </c>
      <c r="U155">
        <f t="shared" si="42"/>
        <v>0.74489330732327286</v>
      </c>
      <c r="V155">
        <f t="shared" si="43"/>
        <v>0.92272935401793388</v>
      </c>
      <c r="W155">
        <f t="shared" si="44"/>
        <v>0.91301365169331294</v>
      </c>
      <c r="X155">
        <f t="shared" si="45"/>
        <v>0.90212185269734613</v>
      </c>
    </row>
    <row r="156" spans="4:24" x14ac:dyDescent="0.3">
      <c r="D156">
        <v>36.369095582197261</v>
      </c>
      <c r="E156">
        <v>18.591449783321426</v>
      </c>
      <c r="F156">
        <v>28.431287709196464</v>
      </c>
      <c r="G156">
        <f t="shared" si="34"/>
        <v>14.010857297639983</v>
      </c>
      <c r="H156">
        <f t="shared" si="34"/>
        <v>14.752361412031716</v>
      </c>
      <c r="I156">
        <f t="shared" si="34"/>
        <v>16.406029733645838</v>
      </c>
      <c r="J156">
        <f t="shared" si="35"/>
        <v>6.2208019042484786</v>
      </c>
      <c r="K156">
        <f t="shared" si="35"/>
        <v>6.9687240579263854</v>
      </c>
      <c r="L156">
        <f t="shared" si="35"/>
        <v>8.1000329277288632</v>
      </c>
      <c r="M156">
        <f t="shared" si="36"/>
        <v>4.1921918920568473</v>
      </c>
      <c r="N156">
        <f t="shared" si="36"/>
        <v>4.6296050148216619</v>
      </c>
      <c r="O156">
        <f t="shared" si="36"/>
        <v>5.11639993824872</v>
      </c>
      <c r="P156">
        <f t="shared" si="37"/>
        <v>0.77557322103314363</v>
      </c>
      <c r="Q156">
        <f t="shared" si="38"/>
        <v>0.76368885372671169</v>
      </c>
      <c r="R156">
        <f t="shared" si="39"/>
        <v>0.737863133893774</v>
      </c>
      <c r="S156">
        <f t="shared" si="40"/>
        <v>0.80584644661714977</v>
      </c>
      <c r="T156">
        <f t="shared" si="41"/>
        <v>0.78170849122390396</v>
      </c>
      <c r="U156">
        <f t="shared" si="42"/>
        <v>0.74650983322255149</v>
      </c>
      <c r="V156">
        <f t="shared" si="43"/>
        <v>0.92333497248589369</v>
      </c>
      <c r="W156">
        <f t="shared" si="44"/>
        <v>0.91368829535260132</v>
      </c>
      <c r="X156">
        <f t="shared" si="45"/>
        <v>0.9028719838452568</v>
      </c>
    </row>
    <row r="157" spans="4:24" x14ac:dyDescent="0.3">
      <c r="D157">
        <v>36.606802089270445</v>
      </c>
      <c r="E157">
        <v>18.712962527003267</v>
      </c>
      <c r="F157">
        <v>28.617113119060495</v>
      </c>
      <c r="G157">
        <f t="shared" si="34"/>
        <v>14.010857297639983</v>
      </c>
      <c r="H157">
        <f t="shared" si="34"/>
        <v>14.752361412031716</v>
      </c>
      <c r="I157">
        <f t="shared" si="34"/>
        <v>16.406029733645838</v>
      </c>
      <c r="J157">
        <f t="shared" si="35"/>
        <v>6.2208019042484786</v>
      </c>
      <c r="K157">
        <f t="shared" si="35"/>
        <v>6.9687240579263854</v>
      </c>
      <c r="L157">
        <f t="shared" si="35"/>
        <v>8.1000329277288632</v>
      </c>
      <c r="M157">
        <f t="shared" si="36"/>
        <v>4.1921918920568473</v>
      </c>
      <c r="N157">
        <f t="shared" si="36"/>
        <v>4.6296050148216619</v>
      </c>
      <c r="O157">
        <f t="shared" si="36"/>
        <v>5.11639993824872</v>
      </c>
      <c r="P157">
        <f t="shared" si="37"/>
        <v>0.77704390379454269</v>
      </c>
      <c r="Q157">
        <f t="shared" si="38"/>
        <v>0.76521383949493849</v>
      </c>
      <c r="R157">
        <f t="shared" si="39"/>
        <v>0.73949793090151905</v>
      </c>
      <c r="S157">
        <f t="shared" si="40"/>
        <v>0.80716807113139988</v>
      </c>
      <c r="T157">
        <f t="shared" si="41"/>
        <v>0.78315021041482269</v>
      </c>
      <c r="U157">
        <f t="shared" si="42"/>
        <v>0.74810911441850303</v>
      </c>
      <c r="V157">
        <f t="shared" si="43"/>
        <v>0.92393233261073204</v>
      </c>
      <c r="W157">
        <f t="shared" si="44"/>
        <v>0.91435384852678603</v>
      </c>
      <c r="X157">
        <f t="shared" si="45"/>
        <v>0.90361214339154505</v>
      </c>
    </row>
    <row r="158" spans="4:24" x14ac:dyDescent="0.3">
      <c r="D158">
        <v>36.84450859634363</v>
      </c>
      <c r="E158">
        <v>18.834475270685108</v>
      </c>
      <c r="F158">
        <v>28.802938528924525</v>
      </c>
      <c r="G158">
        <f t="shared" si="34"/>
        <v>14.010857297639983</v>
      </c>
      <c r="H158">
        <f t="shared" si="34"/>
        <v>14.752361412031716</v>
      </c>
      <c r="I158">
        <f t="shared" si="34"/>
        <v>16.406029733645838</v>
      </c>
      <c r="J158">
        <f t="shared" si="35"/>
        <v>6.2208019042484786</v>
      </c>
      <c r="K158">
        <f t="shared" si="35"/>
        <v>6.9687240579263854</v>
      </c>
      <c r="L158">
        <f t="shared" si="35"/>
        <v>8.1000329277288632</v>
      </c>
      <c r="M158">
        <f t="shared" si="36"/>
        <v>4.1921918920568473</v>
      </c>
      <c r="N158">
        <f t="shared" si="36"/>
        <v>4.6296050148216619</v>
      </c>
      <c r="O158">
        <f t="shared" si="36"/>
        <v>5.11639993824872</v>
      </c>
      <c r="P158">
        <f t="shared" si="37"/>
        <v>0.778498249063031</v>
      </c>
      <c r="Q158">
        <f t="shared" si="38"/>
        <v>0.7667221857679779</v>
      </c>
      <c r="R158">
        <f t="shared" si="39"/>
        <v>0.74111559243428105</v>
      </c>
      <c r="S158">
        <f t="shared" si="40"/>
        <v>0.80847434945924379</v>
      </c>
      <c r="T158">
        <f t="shared" si="41"/>
        <v>0.78457576688535957</v>
      </c>
      <c r="U158">
        <f t="shared" si="42"/>
        <v>0.74969140234467735</v>
      </c>
      <c r="V158">
        <f t="shared" si="43"/>
        <v>0.92452159359748132</v>
      </c>
      <c r="W158">
        <f t="shared" si="44"/>
        <v>0.91501048417039232</v>
      </c>
      <c r="X158">
        <f t="shared" si="45"/>
        <v>0.90434251823035228</v>
      </c>
    </row>
    <row r="159" spans="4:24" x14ac:dyDescent="0.3">
      <c r="D159">
        <v>37.082215103416814</v>
      </c>
      <c r="E159">
        <v>18.955988014366948</v>
      </c>
      <c r="F159">
        <v>28.988763938788555</v>
      </c>
      <c r="G159">
        <f t="shared" si="34"/>
        <v>14.010857297639983</v>
      </c>
      <c r="H159">
        <f t="shared" si="34"/>
        <v>14.752361412031716</v>
      </c>
      <c r="I159">
        <f t="shared" si="34"/>
        <v>16.406029733645838</v>
      </c>
      <c r="J159">
        <f t="shared" si="35"/>
        <v>6.2208019042484786</v>
      </c>
      <c r="K159">
        <f t="shared" si="35"/>
        <v>6.9687240579263854</v>
      </c>
      <c r="L159">
        <f t="shared" si="35"/>
        <v>8.1000329277288632</v>
      </c>
      <c r="M159">
        <f t="shared" si="36"/>
        <v>4.1921918920568473</v>
      </c>
      <c r="N159">
        <f t="shared" si="36"/>
        <v>4.6296050148216619</v>
      </c>
      <c r="O159">
        <f t="shared" si="36"/>
        <v>5.11639993824872</v>
      </c>
      <c r="P159">
        <f t="shared" si="37"/>
        <v>0.7799365068961005</v>
      </c>
      <c r="Q159">
        <f t="shared" si="38"/>
        <v>0.76821414195740167</v>
      </c>
      <c r="R159">
        <f t="shared" si="39"/>
        <v>0.74271636348486902</v>
      </c>
      <c r="S159">
        <f t="shared" si="40"/>
        <v>0.80976552879416286</v>
      </c>
      <c r="T159">
        <f t="shared" si="41"/>
        <v>0.78598541065337968</v>
      </c>
      <c r="U159">
        <f t="shared" si="42"/>
        <v>0.75125694390626208</v>
      </c>
      <c r="V159">
        <f t="shared" si="43"/>
        <v>0.92510291070628148</v>
      </c>
      <c r="W159">
        <f t="shared" si="44"/>
        <v>0.91565837101336645</v>
      </c>
      <c r="X159">
        <f t="shared" si="45"/>
        <v>0.90506329076499037</v>
      </c>
    </row>
    <row r="160" spans="4:24" x14ac:dyDescent="0.3">
      <c r="D160">
        <v>37.319921610489999</v>
      </c>
      <c r="E160">
        <v>19.077500758048789</v>
      </c>
      <c r="F160">
        <v>29.174589348652585</v>
      </c>
      <c r="G160">
        <f t="shared" si="34"/>
        <v>14.010857297639983</v>
      </c>
      <c r="H160">
        <f t="shared" si="34"/>
        <v>14.752361412031716</v>
      </c>
      <c r="I160">
        <f t="shared" si="34"/>
        <v>16.406029733645838</v>
      </c>
      <c r="J160">
        <f t="shared" si="35"/>
        <v>6.2208019042484786</v>
      </c>
      <c r="K160">
        <f t="shared" si="35"/>
        <v>6.9687240579263854</v>
      </c>
      <c r="L160">
        <f t="shared" si="35"/>
        <v>8.1000329277288632</v>
      </c>
      <c r="M160">
        <f t="shared" si="36"/>
        <v>4.1921918920568473</v>
      </c>
      <c r="N160">
        <f t="shared" si="36"/>
        <v>4.6296050148216619</v>
      </c>
      <c r="O160">
        <f t="shared" si="36"/>
        <v>5.11639993824872</v>
      </c>
      <c r="P160">
        <f t="shared" si="37"/>
        <v>0.78135892257167217</v>
      </c>
      <c r="Q160">
        <f t="shared" si="38"/>
        <v>0.76968995282442754</v>
      </c>
      <c r="R160">
        <f t="shared" si="39"/>
        <v>0.74430048473181132</v>
      </c>
      <c r="S160">
        <f t="shared" si="40"/>
        <v>0.81104185131460005</v>
      </c>
      <c r="T160">
        <f t="shared" si="41"/>
        <v>0.78737938689790044</v>
      </c>
      <c r="U160">
        <f t="shared" si="42"/>
        <v>0.75280598157420353</v>
      </c>
      <c r="V160">
        <f t="shared" si="43"/>
        <v>0.92567643537130195</v>
      </c>
      <c r="W160">
        <f t="shared" si="44"/>
        <v>0.91629767368646897</v>
      </c>
      <c r="X160">
        <f t="shared" si="45"/>
        <v>0.90577463903888245</v>
      </c>
    </row>
    <row r="161" spans="4:24" x14ac:dyDescent="0.3">
      <c r="D161">
        <v>37.557628117563183</v>
      </c>
      <c r="E161">
        <v>19.199013501730629</v>
      </c>
      <c r="F161">
        <v>29.360414758516615</v>
      </c>
      <c r="G161">
        <f t="shared" si="34"/>
        <v>14.010857297639983</v>
      </c>
      <c r="H161">
        <f t="shared" si="34"/>
        <v>14.752361412031716</v>
      </c>
      <c r="I161">
        <f t="shared" si="34"/>
        <v>16.406029733645838</v>
      </c>
      <c r="J161">
        <f t="shared" si="35"/>
        <v>6.2208019042484786</v>
      </c>
      <c r="K161">
        <f t="shared" si="35"/>
        <v>6.9687240579263854</v>
      </c>
      <c r="L161">
        <f t="shared" si="35"/>
        <v>8.1000329277288632</v>
      </c>
      <c r="M161">
        <f t="shared" si="36"/>
        <v>4.1921918920568473</v>
      </c>
      <c r="N161">
        <f t="shared" si="36"/>
        <v>4.6296050148216619</v>
      </c>
      <c r="O161">
        <f t="shared" si="36"/>
        <v>5.11639993824872</v>
      </c>
      <c r="P161">
        <f t="shared" si="37"/>
        <v>0.78276573669534555</v>
      </c>
      <c r="Q161">
        <f t="shared" si="38"/>
        <v>0.77114985858111251</v>
      </c>
      <c r="R161">
        <f t="shared" si="39"/>
        <v>0.7458681926266103</v>
      </c>
      <c r="S161">
        <f t="shared" si="40"/>
        <v>0.81230355430484458</v>
      </c>
      <c r="T161">
        <f t="shared" si="41"/>
        <v>0.78875793606933542</v>
      </c>
      <c r="U161">
        <f t="shared" si="42"/>
        <v>0.75433875347720702</v>
      </c>
      <c r="V161">
        <f t="shared" si="43"/>
        <v>0.92624231531545642</v>
      </c>
      <c r="W161">
        <f t="shared" si="44"/>
        <v>0.91692855284230679</v>
      </c>
      <c r="X161">
        <f t="shared" si="45"/>
        <v>0.90647673686203745</v>
      </c>
    </row>
    <row r="162" spans="4:24" x14ac:dyDescent="0.3">
      <c r="D162">
        <v>37.795334624636368</v>
      </c>
      <c r="E162">
        <v>19.32052624541247</v>
      </c>
      <c r="F162">
        <v>29.546240168380645</v>
      </c>
      <c r="G162">
        <f t="shared" si="34"/>
        <v>14.010857297639983</v>
      </c>
      <c r="H162">
        <f t="shared" si="34"/>
        <v>14.752361412031716</v>
      </c>
      <c r="I162">
        <f t="shared" si="34"/>
        <v>16.406029733645838</v>
      </c>
      <c r="J162">
        <f t="shared" si="35"/>
        <v>6.2208019042484786</v>
      </c>
      <c r="K162">
        <f t="shared" si="35"/>
        <v>6.9687240579263854</v>
      </c>
      <c r="L162">
        <f t="shared" si="35"/>
        <v>8.1000329277288632</v>
      </c>
      <c r="M162">
        <f t="shared" si="36"/>
        <v>4.1921918920568473</v>
      </c>
      <c r="N162">
        <f t="shared" si="36"/>
        <v>4.6296050148216619</v>
      </c>
      <c r="O162">
        <f t="shared" si="36"/>
        <v>5.11639993824872</v>
      </c>
      <c r="P162">
        <f t="shared" si="37"/>
        <v>0.78415718530495437</v>
      </c>
      <c r="Q162">
        <f t="shared" si="38"/>
        <v>0.77259409498910381</v>
      </c>
      <c r="R162">
        <f t="shared" si="39"/>
        <v>0.74741971947909835</v>
      </c>
      <c r="S162">
        <f t="shared" si="40"/>
        <v>0.81355087027259876</v>
      </c>
      <c r="T162">
        <f t="shared" si="41"/>
        <v>0.79012129399691944</v>
      </c>
      <c r="U162">
        <f t="shared" si="42"/>
        <v>0.75585549349166625</v>
      </c>
      <c r="V162">
        <f t="shared" si="43"/>
        <v>0.92680069466107973</v>
      </c>
      <c r="W162">
        <f t="shared" si="44"/>
        <v>0.91755116527217351</v>
      </c>
      <c r="X162">
        <f t="shared" si="45"/>
        <v>0.90716975393322752</v>
      </c>
    </row>
    <row r="163" spans="4:24" x14ac:dyDescent="0.3">
      <c r="D163">
        <v>38.033041131709552</v>
      </c>
      <c r="E163">
        <v>19.442038989094311</v>
      </c>
      <c r="F163">
        <v>29.732065578244676</v>
      </c>
      <c r="G163">
        <f t="shared" si="34"/>
        <v>14.010857297639983</v>
      </c>
      <c r="H163">
        <f t="shared" si="34"/>
        <v>14.752361412031716</v>
      </c>
      <c r="I163">
        <f t="shared" si="34"/>
        <v>16.406029733645838</v>
      </c>
      <c r="J163">
        <f t="shared" si="35"/>
        <v>6.2208019042484786</v>
      </c>
      <c r="K163">
        <f t="shared" si="35"/>
        <v>6.9687240579263854</v>
      </c>
      <c r="L163">
        <f t="shared" si="35"/>
        <v>8.1000329277288632</v>
      </c>
      <c r="M163">
        <f t="shared" si="36"/>
        <v>4.1921918920568473</v>
      </c>
      <c r="N163">
        <f t="shared" si="36"/>
        <v>4.6296050148216619</v>
      </c>
      <c r="O163">
        <f t="shared" si="36"/>
        <v>5.11639993824872</v>
      </c>
      <c r="P163">
        <f t="shared" si="37"/>
        <v>0.78553349997250588</v>
      </c>
      <c r="Q163">
        <f t="shared" si="38"/>
        <v>0.77402289345601805</v>
      </c>
      <c r="R163">
        <f t="shared" si="39"/>
        <v>0.74895529354094381</v>
      </c>
      <c r="S163">
        <f t="shared" si="40"/>
        <v>0.81478402706332376</v>
      </c>
      <c r="T163">
        <f t="shared" si="41"/>
        <v>0.7914696919933899</v>
      </c>
      <c r="U163">
        <f t="shared" si="42"/>
        <v>0.75735643132956787</v>
      </c>
      <c r="V163">
        <f t="shared" si="43"/>
        <v>0.92735171403673</v>
      </c>
      <c r="W163">
        <f t="shared" si="44"/>
        <v>0.91816566401886723</v>
      </c>
      <c r="X163">
        <f t="shared" si="45"/>
        <v>0.90785385595803803</v>
      </c>
    </row>
    <row r="164" spans="4:24" x14ac:dyDescent="0.3">
      <c r="D164">
        <v>38.270747638782737</v>
      </c>
      <c r="E164">
        <v>19.563551732776151</v>
      </c>
      <c r="F164">
        <v>29.917890988108706</v>
      </c>
      <c r="G164">
        <f t="shared" ref="G164:I202" si="46">PERCENTILE($A$3:$A$106, G$1)</f>
        <v>14.010857297639983</v>
      </c>
      <c r="H164">
        <f t="shared" si="46"/>
        <v>14.752361412031716</v>
      </c>
      <c r="I164">
        <f t="shared" si="46"/>
        <v>16.406029733645838</v>
      </c>
      <c r="J164">
        <f t="shared" ref="J164:L202" si="47">PERCENTILE($B$3:$B$106, J$1)</f>
        <v>6.2208019042484786</v>
      </c>
      <c r="K164">
        <f t="shared" si="47"/>
        <v>6.9687240579263854</v>
      </c>
      <c r="L164">
        <f t="shared" si="47"/>
        <v>8.1000329277288632</v>
      </c>
      <c r="M164">
        <f t="shared" ref="M164:O202" si="48">PERCENTILE($C$3:$C$106, M$1)</f>
        <v>4.1921918920568473</v>
      </c>
      <c r="N164">
        <f t="shared" si="48"/>
        <v>4.6296050148216619</v>
      </c>
      <c r="O164">
        <f t="shared" si="48"/>
        <v>5.11639993824872</v>
      </c>
      <c r="P164">
        <f t="shared" si="37"/>
        <v>0.78689490790357164</v>
      </c>
      <c r="Q164">
        <f t="shared" si="38"/>
        <v>0.77543648112950425</v>
      </c>
      <c r="R164">
        <f t="shared" si="39"/>
        <v>0.75047513908734342</v>
      </c>
      <c r="S164">
        <f t="shared" si="40"/>
        <v>0.81600324797146595</v>
      </c>
      <c r="T164">
        <f t="shared" si="41"/>
        <v>0.79280335695700133</v>
      </c>
      <c r="U164">
        <f t="shared" si="42"/>
        <v>0.75884179262441565</v>
      </c>
      <c r="V164">
        <f t="shared" si="43"/>
        <v>0.92789551068027154</v>
      </c>
      <c r="W164">
        <f t="shared" si="44"/>
        <v>0.91877219848564162</v>
      </c>
      <c r="X164">
        <f t="shared" si="45"/>
        <v>0.90852920476294763</v>
      </c>
    </row>
    <row r="165" spans="4:24" x14ac:dyDescent="0.3">
      <c r="D165">
        <v>38.508454145855922</v>
      </c>
      <c r="E165">
        <v>19.685064476457992</v>
      </c>
      <c r="F165">
        <v>30.103716397972736</v>
      </c>
      <c r="G165">
        <f t="shared" si="46"/>
        <v>14.010857297639983</v>
      </c>
      <c r="H165">
        <f t="shared" si="46"/>
        <v>14.752361412031716</v>
      </c>
      <c r="I165">
        <f t="shared" si="46"/>
        <v>16.406029733645838</v>
      </c>
      <c r="J165">
        <f t="shared" si="47"/>
        <v>6.2208019042484786</v>
      </c>
      <c r="K165">
        <f t="shared" si="47"/>
        <v>6.9687240579263854</v>
      </c>
      <c r="L165">
        <f t="shared" si="47"/>
        <v>8.1000329277288632</v>
      </c>
      <c r="M165">
        <f t="shared" si="48"/>
        <v>4.1921918920568473</v>
      </c>
      <c r="N165">
        <f t="shared" si="48"/>
        <v>4.6296050148216619</v>
      </c>
      <c r="O165">
        <f t="shared" si="48"/>
        <v>5.11639993824872</v>
      </c>
      <c r="P165">
        <f t="shared" si="37"/>
        <v>0.78824163203419784</v>
      </c>
      <c r="Q165">
        <f t="shared" si="38"/>
        <v>0.7768350809890503</v>
      </c>
      <c r="R165">
        <f t="shared" si="39"/>
        <v>0.75197947649693897</v>
      </c>
      <c r="S165">
        <f t="shared" si="40"/>
        <v>0.81720875184865049</v>
      </c>
      <c r="T165">
        <f t="shared" si="41"/>
        <v>0.79412251147094171</v>
      </c>
      <c r="U165">
        <f t="shared" si="42"/>
        <v>0.76031179901521706</v>
      </c>
      <c r="V165">
        <f t="shared" si="43"/>
        <v>0.92843221853838553</v>
      </c>
      <c r="W165">
        <f t="shared" si="44"/>
        <v>0.91937091454144371</v>
      </c>
      <c r="X165">
        <f t="shared" si="45"/>
        <v>0.90919595840559186</v>
      </c>
    </row>
    <row r="166" spans="4:24" x14ac:dyDescent="0.3">
      <c r="D166">
        <v>38.746160652929106</v>
      </c>
      <c r="E166">
        <v>19.806577220139832</v>
      </c>
      <c r="F166">
        <v>30.289541807836766</v>
      </c>
      <c r="G166">
        <f t="shared" si="46"/>
        <v>14.010857297639983</v>
      </c>
      <c r="H166">
        <f t="shared" si="46"/>
        <v>14.752361412031716</v>
      </c>
      <c r="I166">
        <f t="shared" si="46"/>
        <v>16.406029733645838</v>
      </c>
      <c r="J166">
        <f t="shared" si="47"/>
        <v>6.2208019042484786</v>
      </c>
      <c r="K166">
        <f t="shared" si="47"/>
        <v>6.9687240579263854</v>
      </c>
      <c r="L166">
        <f t="shared" si="47"/>
        <v>8.1000329277288632</v>
      </c>
      <c r="M166">
        <f t="shared" si="48"/>
        <v>4.1921918920568473</v>
      </c>
      <c r="N166">
        <f t="shared" si="48"/>
        <v>4.6296050148216619</v>
      </c>
      <c r="O166">
        <f t="shared" si="48"/>
        <v>5.11639993824872</v>
      </c>
      <c r="P166">
        <f t="shared" si="37"/>
        <v>0.78957389112539977</v>
      </c>
      <c r="Q166">
        <f t="shared" si="38"/>
        <v>0.77821891193558668</v>
      </c>
      <c r="R166">
        <f t="shared" si="39"/>
        <v>0.75346852232999362</v>
      </c>
      <c r="S166">
        <f t="shared" si="40"/>
        <v>0.81840075320894146</v>
      </c>
      <c r="T166">
        <f t="shared" si="41"/>
        <v>0.79542737390022988</v>
      </c>
      <c r="U166">
        <f t="shared" si="42"/>
        <v>0.76176666822858274</v>
      </c>
      <c r="V166">
        <f t="shared" si="43"/>
        <v>0.9289619683626521</v>
      </c>
      <c r="W166">
        <f t="shared" si="44"/>
        <v>0.91996195462258179</v>
      </c>
      <c r="X166">
        <f t="shared" si="45"/>
        <v>0.90985427128135488</v>
      </c>
    </row>
    <row r="167" spans="4:24" x14ac:dyDescent="0.3">
      <c r="D167">
        <v>38.983867160002291</v>
      </c>
      <c r="E167">
        <v>19.928089963821673</v>
      </c>
      <c r="F167">
        <v>30.475367217700796</v>
      </c>
      <c r="G167">
        <f t="shared" si="46"/>
        <v>14.010857297639983</v>
      </c>
      <c r="H167">
        <f t="shared" si="46"/>
        <v>14.752361412031716</v>
      </c>
      <c r="I167">
        <f t="shared" si="46"/>
        <v>16.406029733645838</v>
      </c>
      <c r="J167">
        <f t="shared" si="47"/>
        <v>6.2208019042484786</v>
      </c>
      <c r="K167">
        <f t="shared" si="47"/>
        <v>6.9687240579263854</v>
      </c>
      <c r="L167">
        <f t="shared" si="47"/>
        <v>8.1000329277288632</v>
      </c>
      <c r="M167">
        <f t="shared" si="48"/>
        <v>4.1921918920568473</v>
      </c>
      <c r="N167">
        <f t="shared" si="48"/>
        <v>4.6296050148216619</v>
      </c>
      <c r="O167">
        <f t="shared" si="48"/>
        <v>5.11639993824872</v>
      </c>
      <c r="P167">
        <f t="shared" si="37"/>
        <v>0.79089189985530872</v>
      </c>
      <c r="Q167">
        <f t="shared" si="38"/>
        <v>0.77958818887894687</v>
      </c>
      <c r="R167">
        <f t="shared" si="39"/>
        <v>0.75494248940487119</v>
      </c>
      <c r="S167">
        <f t="shared" si="40"/>
        <v>0.81957946233124968</v>
      </c>
      <c r="T167">
        <f t="shared" si="41"/>
        <v>0.79671815848615413</v>
      </c>
      <c r="U167">
        <f t="shared" si="42"/>
        <v>0.76320661415897373</v>
      </c>
      <c r="V167">
        <f t="shared" si="43"/>
        <v>0.92948488780233762</v>
      </c>
      <c r="W167">
        <f t="shared" si="44"/>
        <v>0.92054545783096287</v>
      </c>
      <c r="X167">
        <f t="shared" si="45"/>
        <v>0.91050429422643064</v>
      </c>
    </row>
    <row r="168" spans="4:24" x14ac:dyDescent="0.3">
      <c r="D168">
        <v>39.221573667075475</v>
      </c>
      <c r="E168">
        <v>20.049602707503514</v>
      </c>
      <c r="F168">
        <v>30.661192627564827</v>
      </c>
      <c r="G168">
        <f t="shared" si="46"/>
        <v>14.010857297639983</v>
      </c>
      <c r="H168">
        <f t="shared" si="46"/>
        <v>14.752361412031716</v>
      </c>
      <c r="I168">
        <f t="shared" si="46"/>
        <v>16.406029733645838</v>
      </c>
      <c r="J168">
        <f t="shared" si="47"/>
        <v>6.2208019042484786</v>
      </c>
      <c r="K168">
        <f t="shared" si="47"/>
        <v>6.9687240579263854</v>
      </c>
      <c r="L168">
        <f t="shared" si="47"/>
        <v>8.1000329277288632</v>
      </c>
      <c r="M168">
        <f t="shared" si="48"/>
        <v>4.1921918920568473</v>
      </c>
      <c r="N168">
        <f t="shared" si="48"/>
        <v>4.6296050148216619</v>
      </c>
      <c r="O168">
        <f t="shared" si="48"/>
        <v>5.11639993824872</v>
      </c>
      <c r="P168">
        <f t="shared" si="37"/>
        <v>0.79219586890902804</v>
      </c>
      <c r="Q168">
        <f t="shared" si="38"/>
        <v>0.7809431228232363</v>
      </c>
      <c r="R168">
        <f t="shared" si="39"/>
        <v>0.75640158687284842</v>
      </c>
      <c r="S168">
        <f t="shared" si="40"/>
        <v>0.82074508535897639</v>
      </c>
      <c r="T168">
        <f t="shared" si="41"/>
        <v>0.79799507543832426</v>
      </c>
      <c r="U168">
        <f t="shared" si="42"/>
        <v>0.76463184694714348</v>
      </c>
      <c r="V168">
        <f t="shared" si="43"/>
        <v>0.93000110149401705</v>
      </c>
      <c r="W168">
        <f t="shared" si="44"/>
        <v>0.92112156002903123</v>
      </c>
      <c r="X168">
        <f t="shared" si="45"/>
        <v>0.91114617461748459</v>
      </c>
    </row>
    <row r="169" spans="4:24" x14ac:dyDescent="0.3">
      <c r="D169">
        <v>39.45928017414866</v>
      </c>
      <c r="E169">
        <v>20.171115451185354</v>
      </c>
      <c r="F169">
        <v>30.847018037428857</v>
      </c>
      <c r="G169">
        <f t="shared" si="46"/>
        <v>14.010857297639983</v>
      </c>
      <c r="H169">
        <f t="shared" si="46"/>
        <v>14.752361412031716</v>
      </c>
      <c r="I169">
        <f t="shared" si="46"/>
        <v>16.406029733645838</v>
      </c>
      <c r="J169">
        <f t="shared" si="47"/>
        <v>6.2208019042484786</v>
      </c>
      <c r="K169">
        <f t="shared" si="47"/>
        <v>6.9687240579263854</v>
      </c>
      <c r="L169">
        <f t="shared" si="47"/>
        <v>8.1000329277288632</v>
      </c>
      <c r="M169">
        <f t="shared" si="48"/>
        <v>4.1921918920568473</v>
      </c>
      <c r="N169">
        <f t="shared" si="48"/>
        <v>4.6296050148216619</v>
      </c>
      <c r="O169">
        <f t="shared" si="48"/>
        <v>5.11639993824872</v>
      </c>
      <c r="P169">
        <f t="shared" si="37"/>
        <v>0.7934860050662661</v>
      </c>
      <c r="Q169">
        <f t="shared" si="38"/>
        <v>0.78228392095016241</v>
      </c>
      <c r="R169">
        <f t="shared" si="39"/>
        <v>0.75784602029130088</v>
      </c>
      <c r="S169">
        <f t="shared" si="40"/>
        <v>0.82189782439697645</v>
      </c>
      <c r="T169">
        <f t="shared" si="41"/>
        <v>0.79925833102440313</v>
      </c>
      <c r="U169">
        <f t="shared" si="42"/>
        <v>0.76604257305681689</v>
      </c>
      <c r="V169">
        <f t="shared" si="43"/>
        <v>0.93051073114815464</v>
      </c>
      <c r="W169">
        <f t="shared" si="44"/>
        <v>0.92169039393153507</v>
      </c>
      <c r="X169">
        <f t="shared" si="45"/>
        <v>0.91178005646804683</v>
      </c>
    </row>
    <row r="170" spans="4:24" x14ac:dyDescent="0.3">
      <c r="D170">
        <v>39.696986681221844</v>
      </c>
      <c r="E170">
        <v>20.292628194867195</v>
      </c>
      <c r="F170">
        <v>31.032843447292887</v>
      </c>
      <c r="G170">
        <f t="shared" si="46"/>
        <v>14.010857297639983</v>
      </c>
      <c r="H170">
        <f t="shared" si="46"/>
        <v>14.752361412031716</v>
      </c>
      <c r="I170">
        <f t="shared" si="46"/>
        <v>16.406029733645838</v>
      </c>
      <c r="J170">
        <f t="shared" si="47"/>
        <v>6.2208019042484786</v>
      </c>
      <c r="K170">
        <f t="shared" si="47"/>
        <v>6.9687240579263854</v>
      </c>
      <c r="L170">
        <f t="shared" si="47"/>
        <v>8.1000329277288632</v>
      </c>
      <c r="M170">
        <f t="shared" si="48"/>
        <v>4.1921918920568473</v>
      </c>
      <c r="N170">
        <f t="shared" si="48"/>
        <v>4.6296050148216619</v>
      </c>
      <c r="O170">
        <f t="shared" si="48"/>
        <v>5.11639993824872</v>
      </c>
      <c r="P170">
        <f t="shared" si="37"/>
        <v>0.79476251128679931</v>
      </c>
      <c r="Q170">
        <f t="shared" si="38"/>
        <v>0.78361078670037754</v>
      </c>
      <c r="R170">
        <f t="shared" si="39"/>
        <v>0.75927599169529436</v>
      </c>
      <c r="S170">
        <f t="shared" si="40"/>
        <v>0.82303787760591618</v>
      </c>
      <c r="T170">
        <f t="shared" si="41"/>
        <v>0.80050812765757573</v>
      </c>
      <c r="U170">
        <f t="shared" si="42"/>
        <v>0.76743899534964122</v>
      </c>
      <c r="V170">
        <f t="shared" si="43"/>
        <v>0.93101389563276249</v>
      </c>
      <c r="W170">
        <f t="shared" si="44"/>
        <v>0.9222520891942434</v>
      </c>
      <c r="X170">
        <f t="shared" si="45"/>
        <v>0.91240608052175665</v>
      </c>
    </row>
    <row r="171" spans="4:24" x14ac:dyDescent="0.3">
      <c r="D171">
        <v>39.934693188295029</v>
      </c>
      <c r="E171">
        <v>20.414140938549036</v>
      </c>
      <c r="F171">
        <v>31.218668857156917</v>
      </c>
      <c r="G171">
        <f t="shared" si="46"/>
        <v>14.010857297639983</v>
      </c>
      <c r="H171">
        <f t="shared" si="46"/>
        <v>14.752361412031716</v>
      </c>
      <c r="I171">
        <f t="shared" si="46"/>
        <v>16.406029733645838</v>
      </c>
      <c r="J171">
        <f t="shared" si="47"/>
        <v>6.2208019042484786</v>
      </c>
      <c r="K171">
        <f t="shared" si="47"/>
        <v>6.9687240579263854</v>
      </c>
      <c r="L171">
        <f t="shared" si="47"/>
        <v>8.1000329277288632</v>
      </c>
      <c r="M171">
        <f t="shared" si="48"/>
        <v>4.1921918920568473</v>
      </c>
      <c r="N171">
        <f t="shared" si="48"/>
        <v>4.6296050148216619</v>
      </c>
      <c r="O171">
        <f t="shared" si="48"/>
        <v>5.11639993824872</v>
      </c>
      <c r="P171">
        <f t="shared" si="37"/>
        <v>0.79602558679382773</v>
      </c>
      <c r="Q171">
        <f t="shared" si="38"/>
        <v>0.7849239198528869</v>
      </c>
      <c r="R171">
        <f t="shared" si="39"/>
        <v>0.76069169966761996</v>
      </c>
      <c r="S171">
        <f t="shared" si="40"/>
        <v>0.82416543929411001</v>
      </c>
      <c r="T171">
        <f t="shared" si="41"/>
        <v>0.80174466398182542</v>
      </c>
      <c r="U171">
        <f t="shared" si="42"/>
        <v>0.76882131315845792</v>
      </c>
      <c r="V171">
        <f t="shared" si="43"/>
        <v>0.93151071105424799</v>
      </c>
      <c r="W171">
        <f t="shared" si="44"/>
        <v>0.9228067724997272</v>
      </c>
      <c r="X171">
        <f t="shared" si="45"/>
        <v>0.91302438434257782</v>
      </c>
    </row>
    <row r="172" spans="4:24" x14ac:dyDescent="0.3">
      <c r="D172">
        <v>40.172399695368213</v>
      </c>
      <c r="E172">
        <v>20.535653682230876</v>
      </c>
      <c r="F172">
        <v>31.404494267020947</v>
      </c>
      <c r="G172">
        <f t="shared" si="46"/>
        <v>14.010857297639983</v>
      </c>
      <c r="H172">
        <f t="shared" si="46"/>
        <v>14.752361412031716</v>
      </c>
      <c r="I172">
        <f t="shared" si="46"/>
        <v>16.406029733645838</v>
      </c>
      <c r="J172">
        <f t="shared" si="47"/>
        <v>6.2208019042484786</v>
      </c>
      <c r="K172">
        <f t="shared" si="47"/>
        <v>6.9687240579263854</v>
      </c>
      <c r="L172">
        <f t="shared" si="47"/>
        <v>8.1000329277288632</v>
      </c>
      <c r="M172">
        <f t="shared" si="48"/>
        <v>4.1921918920568473</v>
      </c>
      <c r="N172">
        <f t="shared" si="48"/>
        <v>4.6296050148216619</v>
      </c>
      <c r="O172">
        <f t="shared" si="48"/>
        <v>5.11639993824872</v>
      </c>
      <c r="P172">
        <f t="shared" si="37"/>
        <v>0.79727542715527644</v>
      </c>
      <c r="Q172">
        <f t="shared" si="38"/>
        <v>0.78622351660256662</v>
      </c>
      <c r="R172">
        <f t="shared" si="39"/>
        <v>0.76209333940730462</v>
      </c>
      <c r="S172">
        <f t="shared" si="40"/>
        <v>0.82528070000690401</v>
      </c>
      <c r="T172">
        <f t="shared" si="41"/>
        <v>0.8029681349550688</v>
      </c>
      <c r="U172">
        <f t="shared" si="42"/>
        <v>0.77018972235892325</v>
      </c>
      <c r="V172">
        <f t="shared" si="43"/>
        <v>0.93200129083555949</v>
      </c>
      <c r="W172">
        <f t="shared" si="44"/>
        <v>0.92335456764031809</v>
      </c>
      <c r="X172">
        <f t="shared" si="45"/>
        <v>0.91363510240209533</v>
      </c>
    </row>
    <row r="173" spans="4:24" x14ac:dyDescent="0.3">
      <c r="D173">
        <v>40.410106202441398</v>
      </c>
      <c r="E173">
        <v>20.657166425912717</v>
      </c>
      <c r="F173">
        <v>31.590319676884977</v>
      </c>
      <c r="G173">
        <f t="shared" si="46"/>
        <v>14.010857297639983</v>
      </c>
      <c r="H173">
        <f t="shared" si="46"/>
        <v>14.752361412031716</v>
      </c>
      <c r="I173">
        <f t="shared" si="46"/>
        <v>16.406029733645838</v>
      </c>
      <c r="J173">
        <f t="shared" si="47"/>
        <v>6.2208019042484786</v>
      </c>
      <c r="K173">
        <f t="shared" si="47"/>
        <v>6.9687240579263854</v>
      </c>
      <c r="L173">
        <f t="shared" si="47"/>
        <v>8.1000329277288632</v>
      </c>
      <c r="M173">
        <f t="shared" si="48"/>
        <v>4.1921918920568473</v>
      </c>
      <c r="N173">
        <f t="shared" si="48"/>
        <v>4.6296050148216619</v>
      </c>
      <c r="O173">
        <f t="shared" si="48"/>
        <v>5.11639993824872</v>
      </c>
      <c r="P173">
        <f t="shared" si="37"/>
        <v>0.7985122243630981</v>
      </c>
      <c r="Q173">
        <f t="shared" si="38"/>
        <v>0.78750976963584263</v>
      </c>
      <c r="R173">
        <f t="shared" si="39"/>
        <v>0.76348110279663017</v>
      </c>
      <c r="S173">
        <f t="shared" si="40"/>
        <v>0.82638384661368303</v>
      </c>
      <c r="T173">
        <f t="shared" si="41"/>
        <v>0.80417873193021505</v>
      </c>
      <c r="U173">
        <f t="shared" si="42"/>
        <v>0.77154441543952679</v>
      </c>
      <c r="V173">
        <f t="shared" si="43"/>
        <v>0.93248574579173438</v>
      </c>
      <c r="W173">
        <f t="shared" si="44"/>
        <v>0.92389559559834911</v>
      </c>
      <c r="X173">
        <f t="shared" si="45"/>
        <v>0.91423836616400367</v>
      </c>
    </row>
    <row r="174" spans="4:24" x14ac:dyDescent="0.3">
      <c r="D174">
        <v>40.647812709514582</v>
      </c>
      <c r="E174">
        <v>20.778679169594557</v>
      </c>
      <c r="F174">
        <v>31.776145086749008</v>
      </c>
      <c r="G174">
        <f t="shared" si="46"/>
        <v>14.010857297639983</v>
      </c>
      <c r="H174">
        <f t="shared" si="46"/>
        <v>14.752361412031716</v>
      </c>
      <c r="I174">
        <f t="shared" si="46"/>
        <v>16.406029733645838</v>
      </c>
      <c r="J174">
        <f t="shared" si="47"/>
        <v>6.2208019042484786</v>
      </c>
      <c r="K174">
        <f t="shared" si="47"/>
        <v>6.9687240579263854</v>
      </c>
      <c r="L174">
        <f t="shared" si="47"/>
        <v>8.1000329277288632</v>
      </c>
      <c r="M174">
        <f t="shared" si="48"/>
        <v>4.1921918920568473</v>
      </c>
      <c r="N174">
        <f t="shared" si="48"/>
        <v>4.6296050148216619</v>
      </c>
      <c r="O174">
        <f t="shared" si="48"/>
        <v>5.11639993824872</v>
      </c>
      <c r="P174">
        <f t="shared" si="37"/>
        <v>0.79973616691063099</v>
      </c>
      <c r="Q174">
        <f t="shared" si="38"/>
        <v>0.78878286820457799</v>
      </c>
      <c r="R174">
        <f t="shared" si="39"/>
        <v>0.76485517846669748</v>
      </c>
      <c r="S174">
        <f t="shared" si="40"/>
        <v>0.82747506239257052</v>
      </c>
      <c r="T174">
        <f t="shared" si="41"/>
        <v>0.80537664273420062</v>
      </c>
      <c r="U174">
        <f t="shared" si="42"/>
        <v>0.77288558157003617</v>
      </c>
      <c r="V174">
        <f t="shared" si="43"/>
        <v>0.93296418420294636</v>
      </c>
      <c r="W174">
        <f t="shared" si="44"/>
        <v>0.92442997462378107</v>
      </c>
      <c r="X174">
        <f t="shared" si="45"/>
        <v>0.9148343041658874</v>
      </c>
    </row>
    <row r="175" spans="4:24" x14ac:dyDescent="0.3">
      <c r="D175">
        <v>40.885519216587767</v>
      </c>
      <c r="E175">
        <v>20.900191913276398</v>
      </c>
      <c r="F175">
        <v>31.961970496613038</v>
      </c>
      <c r="G175">
        <f t="shared" si="46"/>
        <v>14.010857297639983</v>
      </c>
      <c r="H175">
        <f t="shared" si="46"/>
        <v>14.752361412031716</v>
      </c>
      <c r="I175">
        <f t="shared" si="46"/>
        <v>16.406029733645838</v>
      </c>
      <c r="J175">
        <f t="shared" si="47"/>
        <v>6.2208019042484786</v>
      </c>
      <c r="K175">
        <f t="shared" si="47"/>
        <v>6.9687240579263854</v>
      </c>
      <c r="L175">
        <f t="shared" si="47"/>
        <v>8.1000329277288632</v>
      </c>
      <c r="M175">
        <f t="shared" si="48"/>
        <v>4.1921918920568473</v>
      </c>
      <c r="N175">
        <f t="shared" si="48"/>
        <v>4.6296050148216619</v>
      </c>
      <c r="O175">
        <f t="shared" si="48"/>
        <v>5.11639993824872</v>
      </c>
      <c r="P175">
        <f t="shared" si="37"/>
        <v>0.80094743986806316</v>
      </c>
      <c r="Q175">
        <f t="shared" si="38"/>
        <v>0.79004299819820967</v>
      </c>
      <c r="R175">
        <f t="shared" si="39"/>
        <v>0.76621575186156365</v>
      </c>
      <c r="S175">
        <f t="shared" si="40"/>
        <v>0.82855452711288846</v>
      </c>
      <c r="T175">
        <f t="shared" si="41"/>
        <v>0.80656205174505824</v>
      </c>
      <c r="U175">
        <f t="shared" si="42"/>
        <v>0.77421340666841143</v>
      </c>
      <c r="V175">
        <f t="shared" si="43"/>
        <v>0.93343671188514865</v>
      </c>
      <c r="W175">
        <f t="shared" si="44"/>
        <v>0.92495782030930995</v>
      </c>
      <c r="X175">
        <f t="shared" si="45"/>
        <v>0.91542304209839531</v>
      </c>
    </row>
    <row r="176" spans="4:24" x14ac:dyDescent="0.3">
      <c r="D176">
        <v>41.123225723660951</v>
      </c>
      <c r="E176">
        <v>21.021704656958239</v>
      </c>
      <c r="F176">
        <v>32.147795906477064</v>
      </c>
      <c r="G176">
        <f t="shared" si="46"/>
        <v>14.010857297639983</v>
      </c>
      <c r="H176">
        <f t="shared" si="46"/>
        <v>14.752361412031716</v>
      </c>
      <c r="I176">
        <f t="shared" si="46"/>
        <v>16.406029733645838</v>
      </c>
      <c r="J176">
        <f t="shared" si="47"/>
        <v>6.2208019042484786</v>
      </c>
      <c r="K176">
        <f t="shared" si="47"/>
        <v>6.9687240579263854</v>
      </c>
      <c r="L176">
        <f t="shared" si="47"/>
        <v>8.1000329277288632</v>
      </c>
      <c r="M176">
        <f t="shared" si="48"/>
        <v>4.1921918920568473</v>
      </c>
      <c r="N176">
        <f t="shared" si="48"/>
        <v>4.6296050148216619</v>
      </c>
      <c r="O176">
        <f t="shared" si="48"/>
        <v>5.11639993824872</v>
      </c>
      <c r="P176">
        <f t="shared" si="37"/>
        <v>0.80214622495605303</v>
      </c>
      <c r="Q176">
        <f t="shared" si="38"/>
        <v>0.79129034221418382</v>
      </c>
      <c r="R176">
        <f t="shared" si="39"/>
        <v>0.76756300530098642</v>
      </c>
      <c r="S176">
        <f t="shared" si="40"/>
        <v>0.82962241711544316</v>
      </c>
      <c r="T176">
        <f t="shared" si="41"/>
        <v>0.80773513996706992</v>
      </c>
      <c r="U176">
        <f t="shared" si="42"/>
        <v>0.7755280734662191</v>
      </c>
      <c r="V176">
        <f t="shared" si="43"/>
        <v>0.93390343225840333</v>
      </c>
      <c r="W176">
        <f t="shared" si="44"/>
        <v>0.92547924566305106</v>
      </c>
      <c r="X176">
        <f t="shared" si="45"/>
        <v>0.91600470288190161</v>
      </c>
    </row>
    <row r="177" spans="4:24" x14ac:dyDescent="0.3">
      <c r="D177">
        <v>41.360932230734136</v>
      </c>
      <c r="E177">
        <v>21.143217400640079</v>
      </c>
      <c r="F177">
        <v>32.333621316341095</v>
      </c>
      <c r="G177">
        <f t="shared" si="46"/>
        <v>14.010857297639983</v>
      </c>
      <c r="H177">
        <f t="shared" si="46"/>
        <v>14.752361412031716</v>
      </c>
      <c r="I177">
        <f t="shared" si="46"/>
        <v>16.406029733645838</v>
      </c>
      <c r="J177">
        <f t="shared" si="47"/>
        <v>6.2208019042484786</v>
      </c>
      <c r="K177">
        <f t="shared" si="47"/>
        <v>6.9687240579263854</v>
      </c>
      <c r="L177">
        <f t="shared" si="47"/>
        <v>8.1000329277288632</v>
      </c>
      <c r="M177">
        <f t="shared" si="48"/>
        <v>4.1921918920568473</v>
      </c>
      <c r="N177">
        <f t="shared" si="48"/>
        <v>4.6296050148216619</v>
      </c>
      <c r="O177">
        <f t="shared" si="48"/>
        <v>5.11639993824872</v>
      </c>
      <c r="P177">
        <f t="shared" si="37"/>
        <v>0.80333270061755502</v>
      </c>
      <c r="Q177">
        <f t="shared" si="38"/>
        <v>0.79252507962672936</v>
      </c>
      <c r="R177">
        <f t="shared" si="39"/>
        <v>0.76889711804180649</v>
      </c>
      <c r="S177">
        <f t="shared" si="40"/>
        <v>0.83067890539070177</v>
      </c>
      <c r="T177">
        <f t="shared" si="41"/>
        <v>0.80889608510406141</v>
      </c>
      <c r="U177">
        <f t="shared" si="42"/>
        <v>0.77682976157258676</v>
      </c>
      <c r="V177">
        <f t="shared" si="43"/>
        <v>0.93436444641298344</v>
      </c>
      <c r="W177">
        <f t="shared" si="44"/>
        <v>0.92599436117888878</v>
      </c>
      <c r="X177">
        <f t="shared" si="45"/>
        <v>0.916579406740747</v>
      </c>
    </row>
    <row r="178" spans="4:24" x14ac:dyDescent="0.3">
      <c r="D178">
        <v>41.59863873780732</v>
      </c>
      <c r="E178">
        <v>21.26473014432192</v>
      </c>
      <c r="F178">
        <v>32.519446726205125</v>
      </c>
      <c r="G178">
        <f t="shared" si="46"/>
        <v>14.010857297639983</v>
      </c>
      <c r="H178">
        <f t="shared" si="46"/>
        <v>14.752361412031716</v>
      </c>
      <c r="I178">
        <f t="shared" si="46"/>
        <v>16.406029733645838</v>
      </c>
      <c r="J178">
        <f t="shared" si="47"/>
        <v>6.2208019042484786</v>
      </c>
      <c r="K178">
        <f t="shared" si="47"/>
        <v>6.9687240579263854</v>
      </c>
      <c r="L178">
        <f t="shared" si="47"/>
        <v>8.1000329277288632</v>
      </c>
      <c r="M178">
        <f t="shared" si="48"/>
        <v>4.1921918920568473</v>
      </c>
      <c r="N178">
        <f t="shared" si="48"/>
        <v>4.6296050148216619</v>
      </c>
      <c r="O178">
        <f t="shared" si="48"/>
        <v>5.11639993824872</v>
      </c>
      <c r="P178">
        <f t="shared" si="37"/>
        <v>0.80450704208789992</v>
      </c>
      <c r="Q178">
        <f t="shared" si="38"/>
        <v>0.79374738665401379</v>
      </c>
      <c r="R178">
        <f t="shared" si="39"/>
        <v>0.77021826633799761</v>
      </c>
      <c r="S178">
        <f t="shared" si="40"/>
        <v>0.83172416165492047</v>
      </c>
      <c r="T178">
        <f t="shared" si="41"/>
        <v>0.81004506163088219</v>
      </c>
      <c r="U178">
        <f t="shared" si="42"/>
        <v>0.7781186475367271</v>
      </c>
      <c r="V178">
        <f t="shared" si="43"/>
        <v>0.93481985317333016</v>
      </c>
      <c r="W178">
        <f t="shared" si="44"/>
        <v>0.92650327490457562</v>
      </c>
      <c r="X178">
        <f t="shared" si="45"/>
        <v>0.9171472712751445</v>
      </c>
    </row>
    <row r="179" spans="4:24" x14ac:dyDescent="0.3">
      <c r="D179">
        <v>41.836345244880505</v>
      </c>
      <c r="E179">
        <v>21.38624288800376</v>
      </c>
      <c r="F179">
        <v>32.705272136069155</v>
      </c>
      <c r="G179">
        <f t="shared" si="46"/>
        <v>14.010857297639983</v>
      </c>
      <c r="H179">
        <f t="shared" si="46"/>
        <v>14.752361412031716</v>
      </c>
      <c r="I179">
        <f t="shared" si="46"/>
        <v>16.406029733645838</v>
      </c>
      <c r="J179">
        <f t="shared" si="47"/>
        <v>6.2208019042484786</v>
      </c>
      <c r="K179">
        <f t="shared" si="47"/>
        <v>6.9687240579263854</v>
      </c>
      <c r="L179">
        <f t="shared" si="47"/>
        <v>8.1000329277288632</v>
      </c>
      <c r="M179">
        <f t="shared" si="48"/>
        <v>4.1921918920568473</v>
      </c>
      <c r="N179">
        <f t="shared" si="48"/>
        <v>4.6296050148216619</v>
      </c>
      <c r="O179">
        <f t="shared" si="48"/>
        <v>5.11639993824872</v>
      </c>
      <c r="P179">
        <f t="shared" si="37"/>
        <v>0.80566942146317388</v>
      </c>
      <c r="Q179">
        <f t="shared" si="38"/>
        <v>0.79495743642372163</v>
      </c>
      <c r="R179">
        <f t="shared" si="39"/>
        <v>0.77152662349941548</v>
      </c>
      <c r="S179">
        <f t="shared" si="40"/>
        <v>0.83275835242428264</v>
      </c>
      <c r="T179">
        <f t="shared" si="41"/>
        <v>0.81118224086312474</v>
      </c>
      <c r="U179">
        <f t="shared" si="42"/>
        <v>0.7793949049090686</v>
      </c>
      <c r="V179">
        <f t="shared" si="43"/>
        <v>0.93526974915994732</v>
      </c>
      <c r="W179">
        <f t="shared" si="44"/>
        <v>0.92700609250766763</v>
      </c>
      <c r="X179">
        <f t="shared" si="45"/>
        <v>0.91770841153083682</v>
      </c>
    </row>
    <row r="180" spans="4:24" x14ac:dyDescent="0.3">
      <c r="D180">
        <v>42.074051751953689</v>
      </c>
      <c r="E180">
        <v>21.507755631685601</v>
      </c>
      <c r="F180">
        <v>32.891097545933185</v>
      </c>
      <c r="G180">
        <f t="shared" si="46"/>
        <v>14.010857297639983</v>
      </c>
      <c r="H180">
        <f t="shared" si="46"/>
        <v>14.752361412031716</v>
      </c>
      <c r="I180">
        <f t="shared" si="46"/>
        <v>16.406029733645838</v>
      </c>
      <c r="J180">
        <f t="shared" si="47"/>
        <v>6.2208019042484786</v>
      </c>
      <c r="K180">
        <f t="shared" si="47"/>
        <v>6.9687240579263854</v>
      </c>
      <c r="L180">
        <f t="shared" si="47"/>
        <v>8.1000329277288632</v>
      </c>
      <c r="M180">
        <f t="shared" si="48"/>
        <v>4.1921918920568473</v>
      </c>
      <c r="N180">
        <f t="shared" si="48"/>
        <v>4.6296050148216619</v>
      </c>
      <c r="O180">
        <f t="shared" si="48"/>
        <v>5.11639993824872</v>
      </c>
      <c r="P180">
        <f t="shared" si="37"/>
        <v>0.80682000776694129</v>
      </c>
      <c r="Q180">
        <f t="shared" si="38"/>
        <v>0.79615539903709542</v>
      </c>
      <c r="R180">
        <f t="shared" si="39"/>
        <v>0.77282235994927317</v>
      </c>
      <c r="S180">
        <f t="shared" si="40"/>
        <v>0.83378164108710795</v>
      </c>
      <c r="T180">
        <f t="shared" si="41"/>
        <v>0.81230779102512818</v>
      </c>
      <c r="U180">
        <f t="shared" si="42"/>
        <v>0.78065870430102335</v>
      </c>
      <c r="V180">
        <f t="shared" si="43"/>
        <v>0.93571422884930711</v>
      </c>
      <c r="W180">
        <f t="shared" si="44"/>
        <v>0.9275029173393694</v>
      </c>
      <c r="X180">
        <f t="shared" si="45"/>
        <v>0.91826294006658382</v>
      </c>
    </row>
    <row r="181" spans="4:24" x14ac:dyDescent="0.3">
      <c r="D181">
        <v>42.311758259026874</v>
      </c>
      <c r="E181">
        <v>21.629268375367442</v>
      </c>
      <c r="F181">
        <v>33.076922955797215</v>
      </c>
      <c r="G181">
        <f t="shared" si="46"/>
        <v>14.010857297639983</v>
      </c>
      <c r="H181">
        <f t="shared" si="46"/>
        <v>14.752361412031716</v>
      </c>
      <c r="I181">
        <f t="shared" si="46"/>
        <v>16.406029733645838</v>
      </c>
      <c r="J181">
        <f t="shared" si="47"/>
        <v>6.2208019042484786</v>
      </c>
      <c r="K181">
        <f t="shared" si="47"/>
        <v>6.9687240579263854</v>
      </c>
      <c r="L181">
        <f t="shared" si="47"/>
        <v>8.1000329277288632</v>
      </c>
      <c r="M181">
        <f t="shared" si="48"/>
        <v>4.1921918920568473</v>
      </c>
      <c r="N181">
        <f t="shared" si="48"/>
        <v>4.6296050148216619</v>
      </c>
      <c r="O181">
        <f t="shared" si="48"/>
        <v>5.11639993824872</v>
      </c>
      <c r="P181">
        <f t="shared" si="37"/>
        <v>0.80795896701535774</v>
      </c>
      <c r="Q181">
        <f t="shared" si="38"/>
        <v>0.79734144163147802</v>
      </c>
      <c r="R181">
        <f t="shared" si="39"/>
        <v>0.77410564328037335</v>
      </c>
      <c r="S181">
        <f t="shared" si="40"/>
        <v>0.8347941879741867</v>
      </c>
      <c r="T181">
        <f t="shared" si="41"/>
        <v>0.8134218773163151</v>
      </c>
      <c r="U181">
        <f t="shared" si="42"/>
        <v>0.78191021344342637</v>
      </c>
      <c r="V181">
        <f t="shared" si="43"/>
        <v>0.93615338463184095</v>
      </c>
      <c r="W181">
        <f t="shared" si="44"/>
        <v>0.92799385049636918</v>
      </c>
      <c r="X181">
        <f t="shared" si="45"/>
        <v>0.91881096701955778</v>
      </c>
    </row>
    <row r="182" spans="4:24" x14ac:dyDescent="0.3">
      <c r="D182">
        <v>42.549464766100058</v>
      </c>
      <c r="E182">
        <v>21.750781119049282</v>
      </c>
      <c r="F182">
        <v>33.262748365661245</v>
      </c>
      <c r="G182">
        <f t="shared" si="46"/>
        <v>14.010857297639983</v>
      </c>
      <c r="H182">
        <f t="shared" si="46"/>
        <v>14.752361412031716</v>
      </c>
      <c r="I182">
        <f t="shared" si="46"/>
        <v>16.406029733645838</v>
      </c>
      <c r="J182">
        <f t="shared" si="47"/>
        <v>6.2208019042484786</v>
      </c>
      <c r="K182">
        <f t="shared" si="47"/>
        <v>6.9687240579263854</v>
      </c>
      <c r="L182">
        <f t="shared" si="47"/>
        <v>8.1000329277288632</v>
      </c>
      <c r="M182">
        <f t="shared" si="48"/>
        <v>4.1921918920568473</v>
      </c>
      <c r="N182">
        <f t="shared" si="48"/>
        <v>4.6296050148216619</v>
      </c>
      <c r="O182">
        <f t="shared" si="48"/>
        <v>5.11639993824872</v>
      </c>
      <c r="P182">
        <f t="shared" si="37"/>
        <v>0.80908646228071168</v>
      </c>
      <c r="Q182">
        <f t="shared" si="38"/>
        <v>0.79851572844139485</v>
      </c>
      <c r="R182">
        <f t="shared" si="39"/>
        <v>0.77537663831012382</v>
      </c>
      <c r="S182">
        <f t="shared" si="40"/>
        <v>0.83579615042729183</v>
      </c>
      <c r="T182">
        <f t="shared" si="41"/>
        <v>0.81452466197590279</v>
      </c>
      <c r="U182">
        <f t="shared" si="42"/>
        <v>0.78314959724367406</v>
      </c>
      <c r="V182">
        <f t="shared" si="43"/>
        <v>0.93658730686808633</v>
      </c>
      <c r="W182">
        <f t="shared" si="44"/>
        <v>0.92847899088073382</v>
      </c>
      <c r="X182">
        <f t="shared" si="45"/>
        <v>0.91935260016872111</v>
      </c>
    </row>
    <row r="183" spans="4:24" x14ac:dyDescent="0.3">
      <c r="D183">
        <v>42.787171273173243</v>
      </c>
      <c r="E183">
        <v>21.872293862731123</v>
      </c>
      <c r="F183">
        <v>33.448573775525276</v>
      </c>
      <c r="G183">
        <f t="shared" si="46"/>
        <v>14.010857297639983</v>
      </c>
      <c r="H183">
        <f t="shared" si="46"/>
        <v>14.752361412031716</v>
      </c>
      <c r="I183">
        <f t="shared" si="46"/>
        <v>16.406029733645838</v>
      </c>
      <c r="J183">
        <f t="shared" si="47"/>
        <v>6.2208019042484786</v>
      </c>
      <c r="K183">
        <f t="shared" si="47"/>
        <v>6.9687240579263854</v>
      </c>
      <c r="L183">
        <f t="shared" si="47"/>
        <v>8.1000329277288632</v>
      </c>
      <c r="M183">
        <f t="shared" si="48"/>
        <v>4.1921918920568473</v>
      </c>
      <c r="N183">
        <f t="shared" si="48"/>
        <v>4.6296050148216619</v>
      </c>
      <c r="O183">
        <f t="shared" si="48"/>
        <v>5.11639993824872</v>
      </c>
      <c r="P183">
        <f t="shared" si="37"/>
        <v>0.81020265375344058</v>
      </c>
      <c r="Q183">
        <f t="shared" si="38"/>
        <v>0.79967842085821073</v>
      </c>
      <c r="R183">
        <f t="shared" si="39"/>
        <v>0.77663550713436469</v>
      </c>
      <c r="S183">
        <f t="shared" si="40"/>
        <v>0.83678768286592597</v>
      </c>
      <c r="T183">
        <f t="shared" si="41"/>
        <v>0.81561630434603694</v>
      </c>
      <c r="U183">
        <f t="shared" si="42"/>
        <v>0.78437701784159786</v>
      </c>
      <c r="V183">
        <f t="shared" si="43"/>
        <v>0.93701608394305613</v>
      </c>
      <c r="W183">
        <f t="shared" si="44"/>
        <v>0.92895843525793453</v>
      </c>
      <c r="X183">
        <f t="shared" si="45"/>
        <v>0.91988794499625715</v>
      </c>
    </row>
    <row r="184" spans="4:24" x14ac:dyDescent="0.3">
      <c r="D184">
        <v>43.024877780246428</v>
      </c>
      <c r="E184">
        <v>21.993806606412964</v>
      </c>
      <c r="F184">
        <v>33.634399185389306</v>
      </c>
      <c r="G184">
        <f t="shared" si="46"/>
        <v>14.010857297639983</v>
      </c>
      <c r="H184">
        <f t="shared" si="46"/>
        <v>14.752361412031716</v>
      </c>
      <c r="I184">
        <f t="shared" si="46"/>
        <v>16.406029733645838</v>
      </c>
      <c r="J184">
        <f t="shared" si="47"/>
        <v>6.2208019042484786</v>
      </c>
      <c r="K184">
        <f t="shared" si="47"/>
        <v>6.9687240579263854</v>
      </c>
      <c r="L184">
        <f t="shared" si="47"/>
        <v>8.1000329277288632</v>
      </c>
      <c r="M184">
        <f t="shared" si="48"/>
        <v>4.1921918920568473</v>
      </c>
      <c r="N184">
        <f t="shared" si="48"/>
        <v>4.6296050148216619</v>
      </c>
      <c r="O184">
        <f t="shared" si="48"/>
        <v>5.11639993824872</v>
      </c>
      <c r="P184">
        <f t="shared" si="37"/>
        <v>0.81130769880265796</v>
      </c>
      <c r="Q184">
        <f t="shared" si="38"/>
        <v>0.80082967748840272</v>
      </c>
      <c r="R184">
        <f t="shared" si="39"/>
        <v>0.77788240918003537</v>
      </c>
      <c r="S184">
        <f t="shared" si="40"/>
        <v>0.83776893685234821</v>
      </c>
      <c r="T184">
        <f t="shared" si="41"/>
        <v>0.81669696093338573</v>
      </c>
      <c r="U184">
        <f t="shared" si="42"/>
        <v>0.7855926346640959</v>
      </c>
      <c r="V184">
        <f t="shared" si="43"/>
        <v>0.93743980231889545</v>
      </c>
      <c r="W184">
        <f t="shared" si="44"/>
        <v>0.9294322783130694</v>
      </c>
      <c r="X184">
        <f t="shared" si="45"/>
        <v>0.92041710474712302</v>
      </c>
    </row>
    <row r="185" spans="4:24" x14ac:dyDescent="0.3">
      <c r="D185">
        <v>43.262584287319612</v>
      </c>
      <c r="E185">
        <v>22.115319350094804</v>
      </c>
      <c r="F185">
        <v>33.820224595253336</v>
      </c>
      <c r="G185">
        <f t="shared" si="46"/>
        <v>14.010857297639983</v>
      </c>
      <c r="H185">
        <f t="shared" si="46"/>
        <v>14.752361412031716</v>
      </c>
      <c r="I185">
        <f t="shared" si="46"/>
        <v>16.406029733645838</v>
      </c>
      <c r="J185">
        <f t="shared" si="47"/>
        <v>6.2208019042484786</v>
      </c>
      <c r="K185">
        <f t="shared" si="47"/>
        <v>6.9687240579263854</v>
      </c>
      <c r="L185">
        <f t="shared" si="47"/>
        <v>8.1000329277288632</v>
      </c>
      <c r="M185">
        <f t="shared" si="48"/>
        <v>4.1921918920568473</v>
      </c>
      <c r="N185">
        <f t="shared" si="48"/>
        <v>4.6296050148216619</v>
      </c>
      <c r="O185">
        <f t="shared" si="48"/>
        <v>5.11639993824872</v>
      </c>
      <c r="P185">
        <f t="shared" si="37"/>
        <v>0.81240175203523257</v>
      </c>
      <c r="Q185">
        <f t="shared" si="38"/>
        <v>0.80196965421047606</v>
      </c>
      <c r="R185">
        <f t="shared" si="39"/>
        <v>0.77911750125670409</v>
      </c>
      <c r="S185">
        <f t="shared" si="40"/>
        <v>0.83874006115493716</v>
      </c>
      <c r="T185">
        <f t="shared" si="41"/>
        <v>0.81776678546924075</v>
      </c>
      <c r="U185">
        <f t="shared" si="42"/>
        <v>0.78679660447855948</v>
      </c>
      <c r="V185">
        <f t="shared" si="43"/>
        <v>0.9378585465858873</v>
      </c>
      <c r="W185">
        <f t="shared" si="44"/>
        <v>0.92990061270534774</v>
      </c>
      <c r="X185">
        <f t="shared" si="45"/>
        <v>0.92094018048678983</v>
      </c>
    </row>
    <row r="186" spans="4:24" x14ac:dyDescent="0.3">
      <c r="D186">
        <v>43.500290794392797</v>
      </c>
      <c r="E186">
        <v>22.236832093776645</v>
      </c>
      <c r="F186">
        <v>34.006050005117366</v>
      </c>
      <c r="G186">
        <f t="shared" si="46"/>
        <v>14.010857297639983</v>
      </c>
      <c r="H186">
        <f t="shared" si="46"/>
        <v>14.752361412031716</v>
      </c>
      <c r="I186">
        <f t="shared" si="46"/>
        <v>16.406029733645838</v>
      </c>
      <c r="J186">
        <f t="shared" si="47"/>
        <v>6.2208019042484786</v>
      </c>
      <c r="K186">
        <f t="shared" si="47"/>
        <v>6.9687240579263854</v>
      </c>
      <c r="L186">
        <f t="shared" si="47"/>
        <v>8.1000329277288632</v>
      </c>
      <c r="M186">
        <f t="shared" si="48"/>
        <v>4.1921918920568473</v>
      </c>
      <c r="N186">
        <f t="shared" si="48"/>
        <v>4.6296050148216619</v>
      </c>
      <c r="O186">
        <f t="shared" si="48"/>
        <v>5.11639993824872</v>
      </c>
      <c r="P186">
        <f t="shared" si="37"/>
        <v>0.81348496535345793</v>
      </c>
      <c r="Q186">
        <f t="shared" si="38"/>
        <v>0.80309850423056361</v>
      </c>
      <c r="R186">
        <f t="shared" si="39"/>
        <v>0.78034093760698886</v>
      </c>
      <c r="S186">
        <f t="shared" si="40"/>
        <v>0.83970120180993091</v>
      </c>
      <c r="T186">
        <f t="shared" si="41"/>
        <v>0.81882592896815953</v>
      </c>
      <c r="U186">
        <f t="shared" si="42"/>
        <v>0.78798908144511659</v>
      </c>
      <c r="V186">
        <f t="shared" si="43"/>
        <v>0.93827239951186625</v>
      </c>
      <c r="W186">
        <f t="shared" si="44"/>
        <v>0.93036352912089737</v>
      </c>
      <c r="X186">
        <f t="shared" si="45"/>
        <v>0.92145727115723319</v>
      </c>
    </row>
    <row r="187" spans="4:24" x14ac:dyDescent="0.3">
      <c r="D187">
        <v>43.737997301465981</v>
      </c>
      <c r="E187">
        <v>22.358344837458485</v>
      </c>
      <c r="F187">
        <v>34.191875414981396</v>
      </c>
      <c r="G187">
        <f t="shared" si="46"/>
        <v>14.010857297639983</v>
      </c>
      <c r="H187">
        <f t="shared" si="46"/>
        <v>14.752361412031716</v>
      </c>
      <c r="I187">
        <f t="shared" si="46"/>
        <v>16.406029733645838</v>
      </c>
      <c r="J187">
        <f t="shared" si="47"/>
        <v>6.2208019042484786</v>
      </c>
      <c r="K187">
        <f t="shared" si="47"/>
        <v>6.9687240579263854</v>
      </c>
      <c r="L187">
        <f t="shared" si="47"/>
        <v>8.1000329277288632</v>
      </c>
      <c r="M187">
        <f t="shared" si="48"/>
        <v>4.1921918920568473</v>
      </c>
      <c r="N187">
        <f t="shared" si="48"/>
        <v>4.6296050148216619</v>
      </c>
      <c r="O187">
        <f t="shared" si="48"/>
        <v>5.11639993824872</v>
      </c>
      <c r="P187">
        <f t="shared" si="37"/>
        <v>0.8145574880113482</v>
      </c>
      <c r="Q187">
        <f t="shared" si="38"/>
        <v>0.80421637813674229</v>
      </c>
      <c r="R187">
        <f t="shared" si="39"/>
        <v>0.78155286995589679</v>
      </c>
      <c r="S187">
        <f t="shared" si="40"/>
        <v>0.84065250218159526</v>
      </c>
      <c r="T187">
        <f t="shared" si="41"/>
        <v>0.8198745397851922</v>
      </c>
      <c r="U187">
        <f t="shared" si="42"/>
        <v>0.78917021716772406</v>
      </c>
      <c r="V187">
        <f t="shared" si="43"/>
        <v>0.93868144209009918</v>
      </c>
      <c r="W187">
        <f t="shared" si="44"/>
        <v>0.93082111632395415</v>
      </c>
      <c r="X187">
        <f t="shared" si="45"/>
        <v>0.92196847363123569</v>
      </c>
    </row>
    <row r="188" spans="4:24" x14ac:dyDescent="0.3">
      <c r="D188">
        <v>43.975703808539166</v>
      </c>
      <c r="E188">
        <v>22.479857581140326</v>
      </c>
      <c r="F188">
        <v>34.377700824845427</v>
      </c>
      <c r="G188">
        <f t="shared" si="46"/>
        <v>14.010857297639983</v>
      </c>
      <c r="H188">
        <f t="shared" si="46"/>
        <v>14.752361412031716</v>
      </c>
      <c r="I188">
        <f t="shared" si="46"/>
        <v>16.406029733645838</v>
      </c>
      <c r="J188">
        <f t="shared" si="47"/>
        <v>6.2208019042484786</v>
      </c>
      <c r="K188">
        <f t="shared" si="47"/>
        <v>6.9687240579263854</v>
      </c>
      <c r="L188">
        <f t="shared" si="47"/>
        <v>8.1000329277288632</v>
      </c>
      <c r="M188">
        <f t="shared" si="48"/>
        <v>4.1921918920568473</v>
      </c>
      <c r="N188">
        <f t="shared" si="48"/>
        <v>4.6296050148216619</v>
      </c>
      <c r="O188">
        <f t="shared" si="48"/>
        <v>5.11639993824872</v>
      </c>
      <c r="P188">
        <f t="shared" si="37"/>
        <v>0.81561946666959573</v>
      </c>
      <c r="Q188">
        <f t="shared" si="38"/>
        <v>0.80532342395209067</v>
      </c>
      <c r="R188">
        <f t="shared" si="39"/>
        <v>0.78275344755909759</v>
      </c>
      <c r="S188">
        <f t="shared" si="40"/>
        <v>0.84159410302086324</v>
      </c>
      <c r="T188">
        <f t="shared" si="41"/>
        <v>0.82091276367172894</v>
      </c>
      <c r="U188">
        <f t="shared" si="42"/>
        <v>0.79034016074413427</v>
      </c>
      <c r="V188">
        <f t="shared" si="43"/>
        <v>0.93908575358568447</v>
      </c>
      <c r="W188">
        <f t="shared" si="44"/>
        <v>0.93127346120649024</v>
      </c>
      <c r="X188">
        <f t="shared" si="45"/>
        <v>0.92247388276505804</v>
      </c>
    </row>
    <row r="189" spans="4:24" x14ac:dyDescent="0.3">
      <c r="D189">
        <v>44.21341031561235</v>
      </c>
      <c r="E189">
        <v>22.601370324822167</v>
      </c>
      <c r="F189">
        <v>34.563526234709457</v>
      </c>
      <c r="G189">
        <f t="shared" si="46"/>
        <v>14.010857297639983</v>
      </c>
      <c r="H189">
        <f t="shared" si="46"/>
        <v>14.752361412031716</v>
      </c>
      <c r="I189">
        <f t="shared" si="46"/>
        <v>16.406029733645838</v>
      </c>
      <c r="J189">
        <f t="shared" si="47"/>
        <v>6.2208019042484786</v>
      </c>
      <c r="K189">
        <f t="shared" si="47"/>
        <v>6.9687240579263854</v>
      </c>
      <c r="L189">
        <f t="shared" si="47"/>
        <v>8.1000329277288632</v>
      </c>
      <c r="M189">
        <f t="shared" si="48"/>
        <v>4.1921918920568473</v>
      </c>
      <c r="N189">
        <f t="shared" si="48"/>
        <v>4.6296050148216619</v>
      </c>
      <c r="O189">
        <f t="shared" si="48"/>
        <v>5.11639993824872</v>
      </c>
      <c r="P189">
        <f t="shared" si="37"/>
        <v>0.81667104544922831</v>
      </c>
      <c r="Q189">
        <f t="shared" si="38"/>
        <v>0.80641978718653251</v>
      </c>
      <c r="R189">
        <f t="shared" si="39"/>
        <v>0.78394281725016912</v>
      </c>
      <c r="S189">
        <f t="shared" si="40"/>
        <v>0.84252614252248892</v>
      </c>
      <c r="T189">
        <f t="shared" si="41"/>
        <v>0.82194074383000493</v>
      </c>
      <c r="U189">
        <f t="shared" si="42"/>
        <v>0.79149905881476224</v>
      </c>
      <c r="V189">
        <f t="shared" si="43"/>
        <v>0.93948541158052423</v>
      </c>
      <c r="W189">
        <f t="shared" si="44"/>
        <v>0.9317206488363361</v>
      </c>
      <c r="X189">
        <f t="shared" si="45"/>
        <v>0.92297359144953683</v>
      </c>
    </row>
    <row r="190" spans="4:24" x14ac:dyDescent="0.3">
      <c r="D190">
        <v>44.451116822685535</v>
      </c>
      <c r="E190">
        <v>22.722883068504007</v>
      </c>
      <c r="F190">
        <v>34.749351644573487</v>
      </c>
      <c r="G190">
        <f t="shared" si="46"/>
        <v>14.010857297639983</v>
      </c>
      <c r="H190">
        <f t="shared" si="46"/>
        <v>14.752361412031716</v>
      </c>
      <c r="I190">
        <f t="shared" si="46"/>
        <v>16.406029733645838</v>
      </c>
      <c r="J190">
        <f t="shared" si="47"/>
        <v>6.2208019042484786</v>
      </c>
      <c r="K190">
        <f t="shared" si="47"/>
        <v>6.9687240579263854</v>
      </c>
      <c r="L190">
        <f t="shared" si="47"/>
        <v>8.1000329277288632</v>
      </c>
      <c r="M190">
        <f t="shared" si="48"/>
        <v>4.1921918920568473</v>
      </c>
      <c r="N190">
        <f t="shared" si="48"/>
        <v>4.6296050148216619</v>
      </c>
      <c r="O190">
        <f t="shared" si="48"/>
        <v>5.11639993824872</v>
      </c>
      <c r="P190">
        <f t="shared" si="37"/>
        <v>0.81771236598399666</v>
      </c>
      <c r="Q190">
        <f t="shared" si="38"/>
        <v>0.80750561088748385</v>
      </c>
      <c r="R190">
        <f t="shared" si="39"/>
        <v>0.78512112348682528</v>
      </c>
      <c r="S190">
        <f t="shared" si="40"/>
        <v>0.84344875638075834</v>
      </c>
      <c r="T190">
        <f t="shared" si="41"/>
        <v>0.82295862096629813</v>
      </c>
      <c r="U190">
        <f t="shared" si="42"/>
        <v>0.79264705561048121</v>
      </c>
      <c r="V190">
        <f t="shared" si="43"/>
        <v>0.93988049201692014</v>
      </c>
      <c r="W190">
        <f t="shared" si="44"/>
        <v>0.93216276250384789</v>
      </c>
      <c r="X190">
        <f t="shared" si="45"/>
        <v>0.92346769065966072</v>
      </c>
    </row>
    <row r="191" spans="4:24" x14ac:dyDescent="0.3">
      <c r="D191">
        <v>44.688823329758719</v>
      </c>
      <c r="E191">
        <v>22.844395812185848</v>
      </c>
      <c r="F191">
        <v>34.935177054437517</v>
      </c>
      <c r="G191">
        <f t="shared" si="46"/>
        <v>14.010857297639983</v>
      </c>
      <c r="H191">
        <f t="shared" si="46"/>
        <v>14.752361412031716</v>
      </c>
      <c r="I191">
        <f t="shared" si="46"/>
        <v>16.406029733645838</v>
      </c>
      <c r="J191">
        <f t="shared" si="47"/>
        <v>6.2208019042484786</v>
      </c>
      <c r="K191">
        <f t="shared" si="47"/>
        <v>6.9687240579263854</v>
      </c>
      <c r="L191">
        <f t="shared" si="47"/>
        <v>8.1000329277288632</v>
      </c>
      <c r="M191">
        <f t="shared" si="48"/>
        <v>4.1921918920568473</v>
      </c>
      <c r="N191">
        <f t="shared" si="48"/>
        <v>4.6296050148216619</v>
      </c>
      <c r="O191">
        <f t="shared" si="48"/>
        <v>5.11639993824872</v>
      </c>
      <c r="P191">
        <f t="shared" si="37"/>
        <v>0.81874356747152677</v>
      </c>
      <c r="Q191">
        <f t="shared" si="38"/>
        <v>0.8085810356893417</v>
      </c>
      <c r="R191">
        <f t="shared" si="39"/>
        <v>0.78628850839615683</v>
      </c>
      <c r="S191">
        <f t="shared" si="40"/>
        <v>0.8443620778437998</v>
      </c>
      <c r="T191">
        <f t="shared" si="41"/>
        <v>0.82396653334285597</v>
      </c>
      <c r="U191">
        <f t="shared" si="42"/>
        <v>0.79378429299937026</v>
      </c>
      <c r="V191">
        <f t="shared" si="43"/>
        <v>0.94027106923983961</v>
      </c>
      <c r="W191">
        <f t="shared" si="44"/>
        <v>0.93259988376717251</v>
      </c>
      <c r="X191">
        <f t="shared" si="45"/>
        <v>0.92395626950267884</v>
      </c>
    </row>
    <row r="192" spans="4:24" x14ac:dyDescent="0.3">
      <c r="D192">
        <v>44.926529836831904</v>
      </c>
      <c r="E192">
        <v>22.965908555867689</v>
      </c>
      <c r="F192">
        <v>35.121002464301547</v>
      </c>
      <c r="G192">
        <f t="shared" si="46"/>
        <v>14.010857297639983</v>
      </c>
      <c r="H192">
        <f t="shared" si="46"/>
        <v>14.752361412031716</v>
      </c>
      <c r="I192">
        <f t="shared" si="46"/>
        <v>16.406029733645838</v>
      </c>
      <c r="J192">
        <f t="shared" si="47"/>
        <v>6.2208019042484786</v>
      </c>
      <c r="K192">
        <f t="shared" si="47"/>
        <v>6.9687240579263854</v>
      </c>
      <c r="L192">
        <f t="shared" si="47"/>
        <v>8.1000329277288632</v>
      </c>
      <c r="M192">
        <f t="shared" si="48"/>
        <v>4.1921918920568473</v>
      </c>
      <c r="N192">
        <f t="shared" si="48"/>
        <v>4.6296050148216619</v>
      </c>
      <c r="O192">
        <f t="shared" si="48"/>
        <v>5.11639993824872</v>
      </c>
      <c r="P192">
        <f t="shared" si="37"/>
        <v>0.81976478672327036</v>
      </c>
      <c r="Q192">
        <f t="shared" si="38"/>
        <v>0.8096461998618425</v>
      </c>
      <c r="R192">
        <f t="shared" si="39"/>
        <v>0.78744511181890842</v>
      </c>
      <c r="S192">
        <f t="shared" si="40"/>
        <v>0.84526623776652865</v>
      </c>
      <c r="T192">
        <f t="shared" si="41"/>
        <v>0.82496461682858302</v>
      </c>
      <c r="U192">
        <f t="shared" si="42"/>
        <v>0.79491091053243823</v>
      </c>
      <c r="V192">
        <f t="shared" si="43"/>
        <v>0.94065721603790065</v>
      </c>
      <c r="W192">
        <f t="shared" si="44"/>
        <v>0.9330320924961556</v>
      </c>
      <c r="X192">
        <f t="shared" si="45"/>
        <v>0.9244394152647899</v>
      </c>
    </row>
    <row r="193" spans="4:24" x14ac:dyDescent="0.3">
      <c r="D193">
        <v>45.164236343905088</v>
      </c>
      <c r="E193">
        <v>23.087421299549529</v>
      </c>
      <c r="F193">
        <v>35.306827874165577</v>
      </c>
      <c r="G193">
        <f t="shared" si="46"/>
        <v>14.010857297639983</v>
      </c>
      <c r="H193">
        <f t="shared" si="46"/>
        <v>14.752361412031716</v>
      </c>
      <c r="I193">
        <f t="shared" si="46"/>
        <v>16.406029733645838</v>
      </c>
      <c r="J193">
        <f t="shared" si="47"/>
        <v>6.2208019042484786</v>
      </c>
      <c r="K193">
        <f t="shared" si="47"/>
        <v>6.9687240579263854</v>
      </c>
      <c r="L193">
        <f t="shared" si="47"/>
        <v>8.1000329277288632</v>
      </c>
      <c r="M193">
        <f t="shared" si="48"/>
        <v>4.1921918920568473</v>
      </c>
      <c r="N193">
        <f t="shared" si="48"/>
        <v>4.6296050148216619</v>
      </c>
      <c r="O193">
        <f t="shared" si="48"/>
        <v>5.11639993824872</v>
      </c>
      <c r="P193">
        <f t="shared" si="37"/>
        <v>0.82077615821328109</v>
      </c>
      <c r="Q193">
        <f t="shared" si="38"/>
        <v>0.81070123935731353</v>
      </c>
      <c r="R193">
        <f t="shared" si="39"/>
        <v>0.78859107135280604</v>
      </c>
      <c r="S193">
        <f t="shared" si="40"/>
        <v>0.84616136466227043</v>
      </c>
      <c r="T193">
        <f t="shared" si="41"/>
        <v>0.82595300494852275</v>
      </c>
      <c r="U193">
        <f t="shared" si="42"/>
        <v>0.79602704548835035</v>
      </c>
      <c r="V193">
        <f t="shared" si="43"/>
        <v>0.94103900368311832</v>
      </c>
      <c r="W193">
        <f t="shared" si="44"/>
        <v>0.93345946691494208</v>
      </c>
      <c r="X193">
        <f t="shared" si="45"/>
        <v>0.92491721345646005</v>
      </c>
    </row>
    <row r="194" spans="4:24" x14ac:dyDescent="0.3">
      <c r="D194">
        <v>45.401942850978273</v>
      </c>
      <c r="E194">
        <v>23.20893404323137</v>
      </c>
      <c r="F194">
        <v>35.492653284029608</v>
      </c>
      <c r="G194">
        <f t="shared" si="46"/>
        <v>14.010857297639983</v>
      </c>
      <c r="H194">
        <f t="shared" si="46"/>
        <v>14.752361412031716</v>
      </c>
      <c r="I194">
        <f t="shared" si="46"/>
        <v>16.406029733645838</v>
      </c>
      <c r="J194">
        <f t="shared" si="47"/>
        <v>6.2208019042484786</v>
      </c>
      <c r="K194">
        <f t="shared" si="47"/>
        <v>6.9687240579263854</v>
      </c>
      <c r="L194">
        <f t="shared" si="47"/>
        <v>8.1000329277288632</v>
      </c>
      <c r="M194">
        <f t="shared" si="48"/>
        <v>4.1921918920568473</v>
      </c>
      <c r="N194">
        <f t="shared" si="48"/>
        <v>4.6296050148216619</v>
      </c>
      <c r="O194">
        <f t="shared" si="48"/>
        <v>5.11639993824872</v>
      </c>
      <c r="P194">
        <f t="shared" si="37"/>
        <v>0.82177781412585305</v>
      </c>
      <c r="Q194">
        <f t="shared" si="38"/>
        <v>0.81174628785685299</v>
      </c>
      <c r="R194">
        <f t="shared" si="39"/>
        <v>0.78972652239496721</v>
      </c>
      <c r="S194">
        <f t="shared" si="40"/>
        <v>0.84704758475309627</v>
      </c>
      <c r="T194">
        <f t="shared" si="41"/>
        <v>0.8269318289321671</v>
      </c>
      <c r="U194">
        <f t="shared" si="42"/>
        <v>0.79713283291717929</v>
      </c>
      <c r="V194">
        <f t="shared" si="43"/>
        <v>0.94141650196945725</v>
      </c>
      <c r="W194">
        <f t="shared" si="44"/>
        <v>0.93388208364331171</v>
      </c>
      <c r="X194">
        <f t="shared" si="45"/>
        <v>0.92538974785641603</v>
      </c>
    </row>
    <row r="195" spans="4:24" x14ac:dyDescent="0.3">
      <c r="D195">
        <v>45.639649358051457</v>
      </c>
      <c r="E195">
        <v>23.33044678691321</v>
      </c>
      <c r="F195">
        <v>35.678478693893638</v>
      </c>
      <c r="G195">
        <f t="shared" si="46"/>
        <v>14.010857297639983</v>
      </c>
      <c r="H195">
        <f t="shared" si="46"/>
        <v>14.752361412031716</v>
      </c>
      <c r="I195">
        <f t="shared" si="46"/>
        <v>16.406029733645838</v>
      </c>
      <c r="J195">
        <f t="shared" si="47"/>
        <v>6.2208019042484786</v>
      </c>
      <c r="K195">
        <f t="shared" si="47"/>
        <v>6.9687240579263854</v>
      </c>
      <c r="L195">
        <f t="shared" si="47"/>
        <v>8.1000329277288632</v>
      </c>
      <c r="M195">
        <f t="shared" si="48"/>
        <v>4.1921918920568473</v>
      </c>
      <c r="N195">
        <f t="shared" si="48"/>
        <v>4.6296050148216619</v>
      </c>
      <c r="O195">
        <f t="shared" si="48"/>
        <v>5.11639993824872</v>
      </c>
      <c r="P195">
        <f t="shared" si="37"/>
        <v>0.82276988440204357</v>
      </c>
      <c r="Q195">
        <f t="shared" si="38"/>
        <v>0.81278147681545765</v>
      </c>
      <c r="R195">
        <f t="shared" si="39"/>
        <v>0.79085159818340611</v>
      </c>
      <c r="S195">
        <f t="shared" si="40"/>
        <v>0.84792502201890618</v>
      </c>
      <c r="T195">
        <f t="shared" si="41"/>
        <v>0.82790121776062098</v>
      </c>
      <c r="U195">
        <f t="shared" si="42"/>
        <v>0.79822840568320363</v>
      </c>
      <c r="V195">
        <f t="shared" si="43"/>
        <v>0.94178977925023</v>
      </c>
      <c r="W195">
        <f t="shared" si="44"/>
        <v>0.9343000177367945</v>
      </c>
      <c r="X195">
        <f t="shared" si="45"/>
        <v>0.92585710055435877</v>
      </c>
    </row>
    <row r="196" spans="4:24" x14ac:dyDescent="0.3">
      <c r="D196">
        <v>45.877355865124642</v>
      </c>
      <c r="E196">
        <v>23.451959530595051</v>
      </c>
      <c r="F196">
        <v>35.864304103757668</v>
      </c>
      <c r="G196">
        <f t="shared" si="46"/>
        <v>14.010857297639983</v>
      </c>
      <c r="H196">
        <f t="shared" si="46"/>
        <v>14.752361412031716</v>
      </c>
      <c r="I196">
        <f t="shared" si="46"/>
        <v>16.406029733645838</v>
      </c>
      <c r="J196">
        <f t="shared" si="47"/>
        <v>6.2208019042484786</v>
      </c>
      <c r="K196">
        <f t="shared" si="47"/>
        <v>6.9687240579263854</v>
      </c>
      <c r="L196">
        <f t="shared" si="47"/>
        <v>8.1000329277288632</v>
      </c>
      <c r="M196">
        <f t="shared" si="48"/>
        <v>4.1921918920568473</v>
      </c>
      <c r="N196">
        <f t="shared" si="48"/>
        <v>4.6296050148216619</v>
      </c>
      <c r="O196">
        <f t="shared" si="48"/>
        <v>5.11639993824872</v>
      </c>
      <c r="P196">
        <f t="shared" ref="P196:P202" si="49">IFERROR((POWER($D196, P$1)/(POWER($D196, P$1)+POWER(G196, P$1))), 0)</f>
        <v>0.82375249678511497</v>
      </c>
      <c r="Q196">
        <f t="shared" ref="Q196:Q202" si="50">IFERROR((POWER($D196, Q$1)/(POWER($D196, Q$1)+POWER(H196, Q$1))), 0)</f>
        <v>0.81380693550613081</v>
      </c>
      <c r="R196">
        <f t="shared" ref="R196:R202" si="51">IFERROR((POWER($D196, R$1)/(POWER($D196, R$1)+POWER(I196, R$1))), 0)</f>
        <v>0.79196642983765841</v>
      </c>
      <c r="S196">
        <f t="shared" ref="S196:S202" si="52">IFERROR((POWER($E196, S$1)/(POWER($E196, S$1)+POWER(J196, S$1))), 0)</f>
        <v>0.84879379824529699</v>
      </c>
      <c r="T196">
        <f t="shared" ref="T196:T202" si="53">IFERROR((POWER($E196, T$1)/(POWER($E196, T$1)+POWER(K196, T$1))), 0)</f>
        <v>0.82886129821265575</v>
      </c>
      <c r="U196">
        <f t="shared" ref="U196:U202" si="54">IFERROR((POWER($E196, U$1)/(POWER($E196, U$1)+POWER(L196, U$1))), 0)</f>
        <v>0.79931389450677703</v>
      </c>
      <c r="V196">
        <f t="shared" ref="V196:V202" si="55">IFERROR((POWER($F196, V$1)/(POWER($F196, V$1)+POWER(M196, V$1))), 0)</f>
        <v>0.94215890247438228</v>
      </c>
      <c r="W196">
        <f t="shared" ref="W196:W202" si="56">IFERROR((POWER($F196, W$1)/(POWER($F196, W$1)+POWER(N196, W$1))), 0)</f>
        <v>0.9347133427256058</v>
      </c>
      <c r="X196">
        <f t="shared" ref="X196:X202" si="57">IFERROR((POWER($F196, X$1)/(POWER($F196, X$1)+POWER(O196, X$1))), 0)</f>
        <v>0.92631935199243742</v>
      </c>
    </row>
    <row r="197" spans="4:24" x14ac:dyDescent="0.3">
      <c r="D197">
        <v>46.115062372197826</v>
      </c>
      <c r="E197">
        <v>23.573472274276892</v>
      </c>
      <c r="F197">
        <v>36.050129513621698</v>
      </c>
      <c r="G197">
        <f t="shared" si="46"/>
        <v>14.010857297639983</v>
      </c>
      <c r="H197">
        <f t="shared" si="46"/>
        <v>14.752361412031716</v>
      </c>
      <c r="I197">
        <f t="shared" si="46"/>
        <v>16.406029733645838</v>
      </c>
      <c r="J197">
        <f t="shared" si="47"/>
        <v>6.2208019042484786</v>
      </c>
      <c r="K197">
        <f t="shared" si="47"/>
        <v>6.9687240579263854</v>
      </c>
      <c r="L197">
        <f t="shared" si="47"/>
        <v>8.1000329277288632</v>
      </c>
      <c r="M197">
        <f t="shared" si="48"/>
        <v>4.1921918920568473</v>
      </c>
      <c r="N197">
        <f t="shared" si="48"/>
        <v>4.6296050148216619</v>
      </c>
      <c r="O197">
        <f t="shared" si="48"/>
        <v>5.11639993824872</v>
      </c>
      <c r="P197">
        <f t="shared" si="49"/>
        <v>0.82472577686492099</v>
      </c>
      <c r="Q197">
        <f t="shared" si="50"/>
        <v>0.81482279106298983</v>
      </c>
      <c r="R197">
        <f t="shared" si="51"/>
        <v>0.79307114639854515</v>
      </c>
      <c r="S197">
        <f t="shared" si="52"/>
        <v>0.84965403307024856</v>
      </c>
      <c r="T197">
        <f t="shared" si="53"/>
        <v>0.82981219490967817</v>
      </c>
      <c r="U197">
        <f t="shared" si="54"/>
        <v>0.80038942800529023</v>
      </c>
      <c r="V197">
        <f t="shared" si="55"/>
        <v>0.94252393722170158</v>
      </c>
      <c r="W197">
        <f t="shared" si="56"/>
        <v>0.93512213065244132</v>
      </c>
      <c r="X197">
        <f t="shared" si="57"/>
        <v>0.92677658100552784</v>
      </c>
    </row>
    <row r="198" spans="4:24" x14ac:dyDescent="0.3">
      <c r="D198">
        <v>46.352768879271011</v>
      </c>
      <c r="E198">
        <v>23.694985017958732</v>
      </c>
      <c r="F198">
        <v>36.235954923485728</v>
      </c>
      <c r="G198">
        <f t="shared" si="46"/>
        <v>14.010857297639983</v>
      </c>
      <c r="H198">
        <f t="shared" si="46"/>
        <v>14.752361412031716</v>
      </c>
      <c r="I198">
        <f t="shared" si="46"/>
        <v>16.406029733645838</v>
      </c>
      <c r="J198">
        <f t="shared" si="47"/>
        <v>6.2208019042484786</v>
      </c>
      <c r="K198">
        <f t="shared" si="47"/>
        <v>6.9687240579263854</v>
      </c>
      <c r="L198">
        <f t="shared" si="47"/>
        <v>8.1000329277288632</v>
      </c>
      <c r="M198">
        <f t="shared" si="48"/>
        <v>4.1921918920568473</v>
      </c>
      <c r="N198">
        <f t="shared" si="48"/>
        <v>4.6296050148216619</v>
      </c>
      <c r="O198">
        <f t="shared" si="48"/>
        <v>5.11639993824872</v>
      </c>
      <c r="P198">
        <f t="shared" si="49"/>
        <v>0.82568984812126456</v>
      </c>
      <c r="Q198">
        <f t="shared" si="50"/>
        <v>0.81582916852340492</v>
      </c>
      <c r="R198">
        <f t="shared" si="51"/>
        <v>0.79416587486709544</v>
      </c>
      <c r="S198">
        <f t="shared" si="52"/>
        <v>0.85050584402965967</v>
      </c>
      <c r="T198">
        <f t="shared" si="53"/>
        <v>0.83075403035964468</v>
      </c>
      <c r="U198">
        <f t="shared" si="54"/>
        <v>0.80145513273324542</v>
      </c>
      <c r="V198">
        <f t="shared" si="55"/>
        <v>0.94288494773698672</v>
      </c>
      <c r="W198">
        <f t="shared" si="56"/>
        <v>0.93552645210917129</v>
      </c>
      <c r="X198">
        <f t="shared" si="57"/>
        <v>0.92722886486035405</v>
      </c>
    </row>
    <row r="199" spans="4:24" x14ac:dyDescent="0.3">
      <c r="D199">
        <v>46.590475386344195</v>
      </c>
      <c r="E199">
        <v>23.816497761640573</v>
      </c>
      <c r="F199">
        <v>36.421780333349759</v>
      </c>
      <c r="G199">
        <f t="shared" si="46"/>
        <v>14.010857297639983</v>
      </c>
      <c r="H199">
        <f t="shared" si="46"/>
        <v>14.752361412031716</v>
      </c>
      <c r="I199">
        <f t="shared" si="46"/>
        <v>16.406029733645838</v>
      </c>
      <c r="J199">
        <f t="shared" si="47"/>
        <v>6.2208019042484786</v>
      </c>
      <c r="K199">
        <f t="shared" si="47"/>
        <v>6.9687240579263854</v>
      </c>
      <c r="L199">
        <f t="shared" si="47"/>
        <v>8.1000329277288632</v>
      </c>
      <c r="M199">
        <f t="shared" si="48"/>
        <v>4.1921918920568473</v>
      </c>
      <c r="N199">
        <f t="shared" si="48"/>
        <v>4.6296050148216619</v>
      </c>
      <c r="O199">
        <f t="shared" si="48"/>
        <v>5.11639993824872</v>
      </c>
      <c r="P199">
        <f t="shared" si="49"/>
        <v>0.82664483196625493</v>
      </c>
      <c r="Q199">
        <f t="shared" si="50"/>
        <v>0.81682619086918806</v>
      </c>
      <c r="R199">
        <f t="shared" si="51"/>
        <v>0.79525074024264752</v>
      </c>
      <c r="S199">
        <f t="shared" si="52"/>
        <v>0.85134934660176642</v>
      </c>
      <c r="T199">
        <f t="shared" si="53"/>
        <v>0.83168692499994767</v>
      </c>
      <c r="U199">
        <f t="shared" si="54"/>
        <v>0.80251113322146628</v>
      </c>
      <c r="V199">
        <f t="shared" si="55"/>
        <v>0.94324199696321465</v>
      </c>
      <c r="W199">
        <f t="shared" si="56"/>
        <v>0.93592637627246922</v>
      </c>
      <c r="X199">
        <f t="shared" si="57"/>
        <v>0.92767627929348984</v>
      </c>
    </row>
    <row r="200" spans="4:24" x14ac:dyDescent="0.3">
      <c r="D200">
        <v>46.82818189341738</v>
      </c>
      <c r="E200">
        <v>23.938010505322413</v>
      </c>
      <c r="F200">
        <v>36.607605743213789</v>
      </c>
      <c r="G200">
        <f t="shared" si="46"/>
        <v>14.010857297639983</v>
      </c>
      <c r="H200">
        <f t="shared" si="46"/>
        <v>14.752361412031716</v>
      </c>
      <c r="I200">
        <f t="shared" si="46"/>
        <v>16.406029733645838</v>
      </c>
      <c r="J200">
        <f t="shared" si="47"/>
        <v>6.2208019042484786</v>
      </c>
      <c r="K200">
        <f t="shared" si="47"/>
        <v>6.9687240579263854</v>
      </c>
      <c r="L200">
        <f t="shared" si="47"/>
        <v>8.1000329277288632</v>
      </c>
      <c r="M200">
        <f t="shared" si="48"/>
        <v>4.1921918920568473</v>
      </c>
      <c r="N200">
        <f t="shared" si="48"/>
        <v>4.6296050148216619</v>
      </c>
      <c r="O200">
        <f t="shared" si="48"/>
        <v>5.11639993824872</v>
      </c>
      <c r="P200">
        <f t="shared" si="49"/>
        <v>0.8275908477856877</v>
      </c>
      <c r="Q200">
        <f t="shared" si="50"/>
        <v>0.81781397906685582</v>
      </c>
      <c r="R200">
        <f t="shared" si="51"/>
        <v>0.79632586556014362</v>
      </c>
      <c r="S200">
        <f t="shared" si="52"/>
        <v>0.85218465425047374</v>
      </c>
      <c r="T200">
        <f t="shared" si="53"/>
        <v>0.83261099723930021</v>
      </c>
      <c r="U200">
        <f t="shared" si="54"/>
        <v>0.80355755201546186</v>
      </c>
      <c r="V200">
        <f t="shared" si="55"/>
        <v>0.94359514657373511</v>
      </c>
      <c r="W200">
        <f t="shared" si="56"/>
        <v>0.9363219709384113</v>
      </c>
      <c r="X200">
        <f t="shared" si="57"/>
        <v>0.92811889854827856</v>
      </c>
    </row>
    <row r="201" spans="4:24" x14ac:dyDescent="0.3">
      <c r="D201">
        <v>47.065888400490564</v>
      </c>
      <c r="E201">
        <v>24.059523249004254</v>
      </c>
      <c r="F201">
        <v>36.793431153077819</v>
      </c>
      <c r="G201">
        <f t="shared" si="46"/>
        <v>14.010857297639983</v>
      </c>
      <c r="H201">
        <f t="shared" si="46"/>
        <v>14.752361412031716</v>
      </c>
      <c r="I201">
        <f t="shared" si="46"/>
        <v>16.406029733645838</v>
      </c>
      <c r="J201">
        <f t="shared" si="47"/>
        <v>6.2208019042484786</v>
      </c>
      <c r="K201">
        <f t="shared" si="47"/>
        <v>6.9687240579263854</v>
      </c>
      <c r="L201">
        <f t="shared" si="47"/>
        <v>8.1000329277288632</v>
      </c>
      <c r="M201">
        <f t="shared" si="48"/>
        <v>4.1921918920568473</v>
      </c>
      <c r="N201">
        <f t="shared" si="48"/>
        <v>4.6296050148216619</v>
      </c>
      <c r="O201">
        <f t="shared" si="48"/>
        <v>5.11639993824872</v>
      </c>
      <c r="P201">
        <f t="shared" si="49"/>
        <v>0.82852801297947443</v>
      </c>
      <c r="Q201">
        <f t="shared" si="50"/>
        <v>0.81879265210699326</v>
      </c>
      <c r="R201">
        <f t="shared" si="51"/>
        <v>0.79739137192664389</v>
      </c>
      <c r="S201">
        <f t="shared" si="52"/>
        <v>0.85301187846763116</v>
      </c>
      <c r="T201">
        <f t="shared" si="53"/>
        <v>0.83352636349864784</v>
      </c>
      <c r="U201">
        <f t="shared" si="54"/>
        <v>0.80459450971296598</v>
      </c>
      <c r="V201">
        <f t="shared" si="55"/>
        <v>0.94394445700352914</v>
      </c>
      <c r="W201">
        <f t="shared" si="56"/>
        <v>0.93671330255608076</v>
      </c>
      <c r="X201">
        <f t="shared" si="57"/>
        <v>0.92855679541070546</v>
      </c>
    </row>
    <row r="202" spans="4:24" x14ac:dyDescent="0.3">
      <c r="D202">
        <v>47.303594907563749</v>
      </c>
      <c r="E202">
        <v>24.181035992686095</v>
      </c>
      <c r="F202">
        <v>36.979256562941849</v>
      </c>
      <c r="G202">
        <f t="shared" si="46"/>
        <v>14.010857297639983</v>
      </c>
      <c r="H202">
        <f t="shared" si="46"/>
        <v>14.752361412031716</v>
      </c>
      <c r="I202">
        <f t="shared" si="46"/>
        <v>16.406029733645838</v>
      </c>
      <c r="J202">
        <f t="shared" si="47"/>
        <v>6.2208019042484786</v>
      </c>
      <c r="K202">
        <f t="shared" si="47"/>
        <v>6.9687240579263854</v>
      </c>
      <c r="L202">
        <f t="shared" si="47"/>
        <v>8.1000329277288632</v>
      </c>
      <c r="M202">
        <f t="shared" si="48"/>
        <v>4.1921918920568473</v>
      </c>
      <c r="N202">
        <f t="shared" si="48"/>
        <v>4.6296050148216619</v>
      </c>
      <c r="O202">
        <f t="shared" si="48"/>
        <v>5.11639993824872</v>
      </c>
      <c r="P202">
        <f t="shared" si="49"/>
        <v>0.82945644300114629</v>
      </c>
      <c r="Q202">
        <f t="shared" si="50"/>
        <v>0.8197623270427371</v>
      </c>
      <c r="R202">
        <f t="shared" si="51"/>
        <v>0.79844737855706971</v>
      </c>
      <c r="S202">
        <f t="shared" si="52"/>
        <v>0.85383112881427836</v>
      </c>
      <c r="T202">
        <f t="shared" si="53"/>
        <v>0.8344331382511283</v>
      </c>
      <c r="U202">
        <f t="shared" si="54"/>
        <v>0.80562212500066954</v>
      </c>
      <c r="V202">
        <f t="shared" si="55"/>
        <v>0.94428998747956128</v>
      </c>
      <c r="W202">
        <f t="shared" si="56"/>
        <v>0.93710043626020978</v>
      </c>
      <c r="X202">
        <f t="shared" si="57"/>
        <v>0.92899004124425766</v>
      </c>
    </row>
  </sheetData>
  <mergeCells count="1">
    <mergeCell ref="D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1244-F3E4-4AF2-BD76-B780BBA2884A}">
  <dimension ref="A1:E105"/>
  <sheetViews>
    <sheetView workbookViewId="0">
      <selection activeCell="F1" sqref="F1"/>
    </sheetView>
  </sheetViews>
  <sheetFormatPr defaultRowHeight="14.4" x14ac:dyDescent="0.3"/>
  <cols>
    <col min="1" max="1" width="10.33203125" bestFit="1" customWidth="1"/>
    <col min="2" max="2" width="17" bestFit="1" customWidth="1"/>
    <col min="3" max="3" width="11" bestFit="1" customWidth="1"/>
  </cols>
  <sheetData>
    <row r="1" spans="1:5" x14ac:dyDescent="0.3">
      <c r="A1" t="s">
        <v>0</v>
      </c>
      <c r="B1" t="s">
        <v>2</v>
      </c>
      <c r="C1" t="s">
        <v>22</v>
      </c>
      <c r="D1" t="s">
        <v>60</v>
      </c>
      <c r="E1" t="s">
        <v>61</v>
      </c>
    </row>
    <row r="2" spans="1:5" x14ac:dyDescent="0.3">
      <c r="A2" s="1">
        <v>45293</v>
      </c>
      <c r="B2">
        <v>0</v>
      </c>
      <c r="C2">
        <v>1220</v>
      </c>
      <c r="D2">
        <v>96.717227822232672</v>
      </c>
      <c r="E2">
        <v>1477.4923488360555</v>
      </c>
    </row>
    <row r="3" spans="1:5" x14ac:dyDescent="0.3">
      <c r="A3" s="1">
        <v>45300</v>
      </c>
      <c r="B3">
        <v>0</v>
      </c>
      <c r="C3">
        <v>1239</v>
      </c>
      <c r="D3">
        <v>118.87217162039272</v>
      </c>
      <c r="E3">
        <v>1481.332860017151</v>
      </c>
    </row>
    <row r="4" spans="1:5" x14ac:dyDescent="0.3">
      <c r="A4" s="1">
        <v>45307</v>
      </c>
      <c r="B4">
        <v>0</v>
      </c>
      <c r="C4">
        <v>1723</v>
      </c>
      <c r="D4">
        <v>299.27553284001687</v>
      </c>
      <c r="E4">
        <v>1471.5117999337347</v>
      </c>
    </row>
    <row r="5" spans="1:5" x14ac:dyDescent="0.3">
      <c r="A5" s="1">
        <v>45314</v>
      </c>
      <c r="B5">
        <v>0</v>
      </c>
      <c r="C5">
        <v>1775</v>
      </c>
      <c r="D5">
        <v>330.78678802982756</v>
      </c>
      <c r="E5">
        <v>1459.6693347725097</v>
      </c>
    </row>
    <row r="6" spans="1:5" x14ac:dyDescent="0.3">
      <c r="A6" s="1">
        <v>45321</v>
      </c>
      <c r="B6">
        <v>0</v>
      </c>
      <c r="C6">
        <v>1668</v>
      </c>
      <c r="D6">
        <v>286.27189157339984</v>
      </c>
      <c r="E6">
        <v>1489.8253422224104</v>
      </c>
    </row>
    <row r="7" spans="1:5" x14ac:dyDescent="0.3">
      <c r="A7" s="1">
        <v>45328</v>
      </c>
      <c r="B7">
        <v>0</v>
      </c>
      <c r="C7">
        <v>1721</v>
      </c>
      <c r="D7">
        <v>292.03824170780604</v>
      </c>
      <c r="E7">
        <v>1492.7252096314514</v>
      </c>
    </row>
    <row r="8" spans="1:5" x14ac:dyDescent="0.3">
      <c r="A8" s="1">
        <v>45335</v>
      </c>
      <c r="B8">
        <v>0</v>
      </c>
      <c r="C8">
        <v>1827</v>
      </c>
      <c r="D8">
        <v>320.50011664083087</v>
      </c>
      <c r="E8">
        <v>1505.2471564877146</v>
      </c>
    </row>
    <row r="9" spans="1:5" x14ac:dyDescent="0.3">
      <c r="A9" s="1">
        <v>45342</v>
      </c>
      <c r="B9">
        <v>0</v>
      </c>
      <c r="C9">
        <v>1754</v>
      </c>
      <c r="D9">
        <v>296.9042662069271</v>
      </c>
      <c r="E9">
        <v>1543.7748543751879</v>
      </c>
    </row>
    <row r="10" spans="1:5" x14ac:dyDescent="0.3">
      <c r="A10" s="1">
        <v>45349</v>
      </c>
      <c r="B10">
        <v>0</v>
      </c>
      <c r="C10">
        <v>1723</v>
      </c>
      <c r="D10">
        <v>300.67676415683627</v>
      </c>
      <c r="E10">
        <v>1500.0748413245867</v>
      </c>
    </row>
    <row r="11" spans="1:5" x14ac:dyDescent="0.3">
      <c r="A11" s="1">
        <v>45356</v>
      </c>
      <c r="B11">
        <v>0</v>
      </c>
      <c r="C11">
        <v>1732</v>
      </c>
      <c r="D11">
        <v>317.24181662264346</v>
      </c>
      <c r="E11">
        <v>1498.2132829650484</v>
      </c>
    </row>
    <row r="12" spans="1:5" x14ac:dyDescent="0.3">
      <c r="A12" s="1">
        <v>45363</v>
      </c>
      <c r="B12">
        <v>0</v>
      </c>
      <c r="C12">
        <v>1939</v>
      </c>
      <c r="D12">
        <v>384.95177014800151</v>
      </c>
      <c r="E12">
        <v>1477.0952671229361</v>
      </c>
    </row>
    <row r="13" spans="1:5" x14ac:dyDescent="0.3">
      <c r="A13" s="1">
        <v>45370</v>
      </c>
      <c r="B13">
        <v>0</v>
      </c>
      <c r="C13">
        <v>1943</v>
      </c>
      <c r="D13">
        <v>385.09514381584887</v>
      </c>
      <c r="E13">
        <v>1514.262218537749</v>
      </c>
    </row>
    <row r="14" spans="1:5" x14ac:dyDescent="0.3">
      <c r="A14" s="1">
        <v>45377</v>
      </c>
      <c r="B14">
        <v>0</v>
      </c>
      <c r="C14">
        <v>1854</v>
      </c>
      <c r="D14">
        <v>360.80448984341837</v>
      </c>
      <c r="E14">
        <v>1526.4949449758667</v>
      </c>
    </row>
    <row r="15" spans="1:5" x14ac:dyDescent="0.3">
      <c r="A15" s="1">
        <v>45384</v>
      </c>
      <c r="B15">
        <v>0</v>
      </c>
      <c r="C15">
        <v>2001</v>
      </c>
      <c r="D15">
        <v>392.94720308007425</v>
      </c>
      <c r="E15">
        <v>1515.7375416268815</v>
      </c>
    </row>
    <row r="16" spans="1:5" x14ac:dyDescent="0.3">
      <c r="A16" s="1">
        <v>45391</v>
      </c>
      <c r="B16">
        <v>0</v>
      </c>
      <c r="C16">
        <v>2005</v>
      </c>
      <c r="D16">
        <v>404.32871927261749</v>
      </c>
      <c r="E16">
        <v>1574.7330968798267</v>
      </c>
    </row>
    <row r="17" spans="1:5" x14ac:dyDescent="0.3">
      <c r="A17" s="1">
        <v>45398</v>
      </c>
      <c r="B17">
        <v>0</v>
      </c>
      <c r="C17">
        <v>2021</v>
      </c>
      <c r="D17">
        <v>414.30735072833443</v>
      </c>
      <c r="E17">
        <v>1576.3230597104384</v>
      </c>
    </row>
    <row r="18" spans="1:5" x14ac:dyDescent="0.3">
      <c r="A18" s="1">
        <v>45405</v>
      </c>
      <c r="B18">
        <v>0</v>
      </c>
      <c r="C18">
        <v>1970</v>
      </c>
      <c r="D18">
        <v>411.84307537429089</v>
      </c>
      <c r="E18">
        <v>1581.4779735286602</v>
      </c>
    </row>
    <row r="19" spans="1:5" x14ac:dyDescent="0.3">
      <c r="A19" s="1">
        <v>45412</v>
      </c>
      <c r="B19">
        <v>0</v>
      </c>
      <c r="C19">
        <v>1850</v>
      </c>
      <c r="D19">
        <v>370.7799803610427</v>
      </c>
      <c r="E19">
        <v>1529.2748249821975</v>
      </c>
    </row>
    <row r="20" spans="1:5" x14ac:dyDescent="0.3">
      <c r="A20" s="1">
        <v>45419</v>
      </c>
      <c r="B20">
        <v>0</v>
      </c>
      <c r="C20">
        <v>1838</v>
      </c>
      <c r="D20">
        <v>356.01141488997183</v>
      </c>
      <c r="E20">
        <v>1547.6620444110006</v>
      </c>
    </row>
    <row r="21" spans="1:5" x14ac:dyDescent="0.3">
      <c r="A21" s="1">
        <v>45426</v>
      </c>
      <c r="B21">
        <v>0</v>
      </c>
      <c r="C21">
        <v>2194</v>
      </c>
      <c r="D21">
        <v>477.88123808556213</v>
      </c>
      <c r="E21">
        <v>1591.4327189067321</v>
      </c>
    </row>
    <row r="22" spans="1:5" x14ac:dyDescent="0.3">
      <c r="A22" s="1">
        <v>45433</v>
      </c>
      <c r="B22">
        <v>0</v>
      </c>
      <c r="C22">
        <v>2035</v>
      </c>
      <c r="D22">
        <v>428.83955394431678</v>
      </c>
      <c r="E22">
        <v>1566.5118391364924</v>
      </c>
    </row>
    <row r="23" spans="1:5" x14ac:dyDescent="0.3">
      <c r="A23" s="1">
        <v>45440</v>
      </c>
      <c r="B23">
        <v>0</v>
      </c>
      <c r="C23">
        <v>2044</v>
      </c>
      <c r="D23">
        <v>429.27818343690222</v>
      </c>
      <c r="E23">
        <v>1539.0849069725512</v>
      </c>
    </row>
    <row r="24" spans="1:5" x14ac:dyDescent="0.3">
      <c r="A24" s="1">
        <v>45447</v>
      </c>
      <c r="B24">
        <v>0</v>
      </c>
      <c r="C24">
        <v>1944</v>
      </c>
      <c r="D24">
        <v>393.79948317609222</v>
      </c>
      <c r="E24">
        <v>1578.8326384422196</v>
      </c>
    </row>
    <row r="25" spans="1:5" x14ac:dyDescent="0.3">
      <c r="A25" s="1">
        <v>45454</v>
      </c>
      <c r="B25">
        <v>1</v>
      </c>
      <c r="C25">
        <v>1797</v>
      </c>
      <c r="D25">
        <v>324.74547885902734</v>
      </c>
      <c r="E25">
        <v>1572.2627017341183</v>
      </c>
    </row>
    <row r="26" spans="1:5" x14ac:dyDescent="0.3">
      <c r="A26" s="1">
        <v>45461</v>
      </c>
      <c r="B26">
        <v>1</v>
      </c>
      <c r="C26">
        <v>1989</v>
      </c>
      <c r="D26">
        <v>401.02213926655315</v>
      </c>
      <c r="E26">
        <v>1587.0241120263026</v>
      </c>
    </row>
    <row r="27" spans="1:5" x14ac:dyDescent="0.3">
      <c r="A27" s="1">
        <v>45468</v>
      </c>
      <c r="B27">
        <v>1</v>
      </c>
      <c r="C27">
        <v>1779</v>
      </c>
      <c r="D27">
        <v>325.85088540358873</v>
      </c>
      <c r="E27">
        <v>1518.7118404716848</v>
      </c>
    </row>
    <row r="28" spans="1:5" x14ac:dyDescent="0.3">
      <c r="A28" s="1">
        <v>45475</v>
      </c>
      <c r="B28">
        <v>1</v>
      </c>
      <c r="C28">
        <v>1789</v>
      </c>
      <c r="D28">
        <v>297.34483987944003</v>
      </c>
      <c r="E28">
        <v>1542.3587056442327</v>
      </c>
    </row>
    <row r="29" spans="1:5" x14ac:dyDescent="0.3">
      <c r="A29" s="1">
        <v>45482</v>
      </c>
      <c r="B29">
        <v>1</v>
      </c>
      <c r="C29">
        <v>1695</v>
      </c>
      <c r="D29">
        <v>330.71763862731802</v>
      </c>
      <c r="E29">
        <v>1551.5093363416483</v>
      </c>
    </row>
    <row r="30" spans="1:5" x14ac:dyDescent="0.3">
      <c r="A30" s="1">
        <v>45489</v>
      </c>
      <c r="B30">
        <v>1</v>
      </c>
      <c r="C30">
        <v>1938</v>
      </c>
      <c r="D30">
        <v>408.5842483115938</v>
      </c>
      <c r="E30">
        <v>1589.0061595034854</v>
      </c>
    </row>
    <row r="31" spans="1:5" x14ac:dyDescent="0.3">
      <c r="A31" s="1">
        <v>45496</v>
      </c>
      <c r="B31">
        <v>1</v>
      </c>
      <c r="C31">
        <v>1900</v>
      </c>
      <c r="D31">
        <v>385.26181832112707</v>
      </c>
      <c r="E31">
        <v>1534.6688411762195</v>
      </c>
    </row>
    <row r="32" spans="1:5" x14ac:dyDescent="0.3">
      <c r="A32" s="1">
        <v>45503</v>
      </c>
      <c r="B32">
        <v>1</v>
      </c>
      <c r="C32">
        <v>1933</v>
      </c>
      <c r="D32">
        <v>414.38913814257575</v>
      </c>
      <c r="E32">
        <v>1575.8818394852419</v>
      </c>
    </row>
    <row r="33" spans="1:5" x14ac:dyDescent="0.3">
      <c r="A33" s="1">
        <v>45510</v>
      </c>
      <c r="B33">
        <v>1</v>
      </c>
      <c r="C33">
        <v>1900</v>
      </c>
      <c r="D33">
        <v>395.07724664469987</v>
      </c>
      <c r="E33">
        <v>1564.4998535948471</v>
      </c>
    </row>
    <row r="34" spans="1:5" x14ac:dyDescent="0.3">
      <c r="A34" s="1">
        <v>45517</v>
      </c>
      <c r="B34">
        <v>1</v>
      </c>
      <c r="C34">
        <v>1849</v>
      </c>
      <c r="D34">
        <v>339.19101734633222</v>
      </c>
      <c r="E34">
        <v>1552.2049946356565</v>
      </c>
    </row>
    <row r="35" spans="1:5" x14ac:dyDescent="0.3">
      <c r="A35" s="1">
        <v>45524</v>
      </c>
      <c r="B35">
        <v>1</v>
      </c>
      <c r="C35">
        <v>2031</v>
      </c>
      <c r="D35">
        <v>383.90780901293311</v>
      </c>
      <c r="E35">
        <v>1554.2547049427103</v>
      </c>
    </row>
    <row r="36" spans="1:5" x14ac:dyDescent="0.3">
      <c r="A36" s="1">
        <v>45531</v>
      </c>
      <c r="B36">
        <v>1</v>
      </c>
      <c r="C36">
        <v>2231</v>
      </c>
      <c r="D36">
        <v>512.52356643053292</v>
      </c>
      <c r="E36">
        <v>1577.1952842216263</v>
      </c>
    </row>
    <row r="37" spans="1:5" x14ac:dyDescent="0.3">
      <c r="A37" s="1">
        <v>45538</v>
      </c>
      <c r="B37">
        <v>1</v>
      </c>
      <c r="C37">
        <v>2217</v>
      </c>
      <c r="D37">
        <v>513.25937324861252</v>
      </c>
      <c r="E37">
        <v>1551.2590720791484</v>
      </c>
    </row>
    <row r="38" spans="1:5" x14ac:dyDescent="0.3">
      <c r="A38" s="1">
        <v>45545</v>
      </c>
      <c r="B38">
        <v>1</v>
      </c>
      <c r="C38">
        <v>2096</v>
      </c>
      <c r="D38">
        <v>455.63766283298526</v>
      </c>
      <c r="E38">
        <v>1551.3184249380113</v>
      </c>
    </row>
    <row r="39" spans="1:5" x14ac:dyDescent="0.3">
      <c r="A39" s="1">
        <v>45552</v>
      </c>
      <c r="B39">
        <v>1</v>
      </c>
      <c r="C39">
        <v>2163</v>
      </c>
      <c r="D39">
        <v>495.26533435347773</v>
      </c>
      <c r="E39">
        <v>1577.954170345085</v>
      </c>
    </row>
    <row r="40" spans="1:5" x14ac:dyDescent="0.3">
      <c r="A40" s="1">
        <v>45559</v>
      </c>
      <c r="B40">
        <v>1</v>
      </c>
      <c r="C40">
        <v>1939</v>
      </c>
      <c r="D40">
        <v>400.16383703732691</v>
      </c>
      <c r="E40">
        <v>1510.3400085542821</v>
      </c>
    </row>
    <row r="41" spans="1:5" x14ac:dyDescent="0.3">
      <c r="A41" s="1">
        <v>45566</v>
      </c>
      <c r="B41">
        <v>1</v>
      </c>
      <c r="C41">
        <v>1911</v>
      </c>
      <c r="D41">
        <v>389.85356366408996</v>
      </c>
      <c r="E41">
        <v>1524.0245302805631</v>
      </c>
    </row>
    <row r="42" spans="1:5" x14ac:dyDescent="0.3">
      <c r="A42" s="1">
        <v>45573</v>
      </c>
      <c r="B42">
        <v>0</v>
      </c>
      <c r="C42">
        <v>1693</v>
      </c>
      <c r="D42">
        <v>320.01744644082606</v>
      </c>
      <c r="E42">
        <v>1507.8747255168623</v>
      </c>
    </row>
    <row r="43" spans="1:5" x14ac:dyDescent="0.3">
      <c r="A43" s="1">
        <v>45580</v>
      </c>
      <c r="B43">
        <v>0</v>
      </c>
      <c r="C43">
        <v>1829</v>
      </c>
      <c r="D43">
        <v>386.82887445698157</v>
      </c>
      <c r="E43">
        <v>1566.2453759827981</v>
      </c>
    </row>
    <row r="44" spans="1:5" x14ac:dyDescent="0.3">
      <c r="A44" s="1">
        <v>45587</v>
      </c>
      <c r="B44">
        <v>0</v>
      </c>
      <c r="C44">
        <v>1804</v>
      </c>
      <c r="D44">
        <v>342.15901471082009</v>
      </c>
      <c r="E44">
        <v>1602.203437758659</v>
      </c>
    </row>
    <row r="45" spans="1:5" x14ac:dyDescent="0.3">
      <c r="A45" s="1">
        <v>45594</v>
      </c>
      <c r="B45">
        <v>0</v>
      </c>
      <c r="C45">
        <v>1918</v>
      </c>
      <c r="D45">
        <v>411.82127134565548</v>
      </c>
      <c r="E45">
        <v>1574.8128222600762</v>
      </c>
    </row>
    <row r="46" spans="1:5" x14ac:dyDescent="0.3">
      <c r="A46" s="1">
        <v>45601</v>
      </c>
      <c r="B46">
        <v>0</v>
      </c>
      <c r="C46">
        <v>1994</v>
      </c>
      <c r="D46">
        <v>432.5928403253028</v>
      </c>
      <c r="E46">
        <v>1541.3265708873582</v>
      </c>
    </row>
    <row r="47" spans="1:5" x14ac:dyDescent="0.3">
      <c r="A47" s="1">
        <v>45608</v>
      </c>
      <c r="B47">
        <v>0</v>
      </c>
      <c r="C47">
        <v>2082</v>
      </c>
      <c r="D47">
        <v>446.68034864716492</v>
      </c>
      <c r="E47">
        <v>1565.2935081791275</v>
      </c>
    </row>
    <row r="48" spans="1:5" x14ac:dyDescent="0.3">
      <c r="A48" s="1">
        <v>45615</v>
      </c>
      <c r="B48">
        <v>0</v>
      </c>
      <c r="C48">
        <v>2054</v>
      </c>
      <c r="D48">
        <v>422.29418470251738</v>
      </c>
      <c r="E48">
        <v>1559.6908321885983</v>
      </c>
    </row>
    <row r="49" spans="1:5" x14ac:dyDescent="0.3">
      <c r="A49" s="1">
        <v>45622</v>
      </c>
      <c r="B49">
        <v>0</v>
      </c>
      <c r="C49">
        <v>2103</v>
      </c>
      <c r="D49">
        <v>440.75680088238607</v>
      </c>
      <c r="E49">
        <v>1577.3725192084175</v>
      </c>
    </row>
    <row r="50" spans="1:5" x14ac:dyDescent="0.3">
      <c r="A50" s="1">
        <v>45629</v>
      </c>
      <c r="B50">
        <v>0</v>
      </c>
      <c r="C50">
        <v>2039</v>
      </c>
      <c r="D50">
        <v>394.75659512960794</v>
      </c>
      <c r="E50">
        <v>1567.1409412571552</v>
      </c>
    </row>
    <row r="51" spans="1:5" x14ac:dyDescent="0.3">
      <c r="A51" s="1">
        <v>45636</v>
      </c>
      <c r="B51">
        <v>0</v>
      </c>
      <c r="C51">
        <v>2107</v>
      </c>
      <c r="D51">
        <v>446.65047746918987</v>
      </c>
      <c r="E51">
        <v>1540.5748203349503</v>
      </c>
    </row>
    <row r="52" spans="1:5" x14ac:dyDescent="0.3">
      <c r="A52" s="1">
        <v>45643</v>
      </c>
      <c r="B52">
        <v>0</v>
      </c>
      <c r="C52">
        <v>2166</v>
      </c>
      <c r="D52">
        <v>472.1781903076411</v>
      </c>
      <c r="E52">
        <v>1555.4366068882457</v>
      </c>
    </row>
    <row r="53" spans="1:5" x14ac:dyDescent="0.3">
      <c r="A53" s="1">
        <v>45650</v>
      </c>
      <c r="B53">
        <v>0</v>
      </c>
      <c r="C53">
        <v>2004</v>
      </c>
      <c r="D53">
        <v>411.8184303534307</v>
      </c>
      <c r="E53">
        <v>1563.5399725898619</v>
      </c>
    </row>
    <row r="54" spans="1:5" x14ac:dyDescent="0.3">
      <c r="A54" s="1">
        <v>45657</v>
      </c>
      <c r="B54">
        <v>0</v>
      </c>
      <c r="C54">
        <v>2058</v>
      </c>
      <c r="D54">
        <v>395.04791806744856</v>
      </c>
      <c r="E54">
        <v>1540.8223751066607</v>
      </c>
    </row>
    <row r="55" spans="1:5" x14ac:dyDescent="0.3">
      <c r="A55" s="1">
        <v>45664</v>
      </c>
      <c r="B55">
        <v>0</v>
      </c>
      <c r="C55">
        <v>1961</v>
      </c>
      <c r="D55">
        <v>395.2051717141839</v>
      </c>
      <c r="E55">
        <v>1561.8995302333935</v>
      </c>
    </row>
    <row r="56" spans="1:5" x14ac:dyDescent="0.3">
      <c r="A56" s="1">
        <v>45671</v>
      </c>
      <c r="B56">
        <v>0</v>
      </c>
      <c r="C56">
        <v>2071</v>
      </c>
      <c r="D56">
        <v>433.37560049120839</v>
      </c>
      <c r="E56">
        <v>1557.1063165560308</v>
      </c>
    </row>
    <row r="57" spans="1:5" x14ac:dyDescent="0.3">
      <c r="A57" s="1">
        <v>45678</v>
      </c>
      <c r="B57">
        <v>0</v>
      </c>
      <c r="C57">
        <v>1979</v>
      </c>
      <c r="D57">
        <v>400.43129725090239</v>
      </c>
      <c r="E57">
        <v>1571.6845026023493</v>
      </c>
    </row>
    <row r="58" spans="1:5" x14ac:dyDescent="0.3">
      <c r="A58" s="1">
        <v>45685</v>
      </c>
      <c r="B58">
        <v>0</v>
      </c>
      <c r="C58">
        <v>1867</v>
      </c>
      <c r="D58">
        <v>356.3775459455527</v>
      </c>
      <c r="E58">
        <v>1540.3776677147907</v>
      </c>
    </row>
    <row r="59" spans="1:5" x14ac:dyDescent="0.3">
      <c r="A59" s="1">
        <v>45692</v>
      </c>
      <c r="B59">
        <v>0</v>
      </c>
      <c r="C59">
        <v>1969</v>
      </c>
      <c r="D59">
        <v>359.77582971199882</v>
      </c>
      <c r="E59">
        <v>1561.0597687646655</v>
      </c>
    </row>
    <row r="60" spans="1:5" x14ac:dyDescent="0.3">
      <c r="A60" s="1">
        <v>45699</v>
      </c>
      <c r="B60">
        <v>0</v>
      </c>
      <c r="C60">
        <v>2001</v>
      </c>
      <c r="D60">
        <v>399.12663596885557</v>
      </c>
      <c r="E60">
        <v>1593.2738931704623</v>
      </c>
    </row>
    <row r="61" spans="1:5" x14ac:dyDescent="0.3">
      <c r="A61" s="1">
        <v>45706</v>
      </c>
      <c r="B61">
        <v>0</v>
      </c>
      <c r="C61">
        <v>2053</v>
      </c>
      <c r="D61">
        <v>395.59831888837886</v>
      </c>
      <c r="E61">
        <v>1572.2980573732386</v>
      </c>
    </row>
    <row r="62" spans="1:5" x14ac:dyDescent="0.3">
      <c r="A62" s="1">
        <v>45713</v>
      </c>
      <c r="B62">
        <v>0</v>
      </c>
      <c r="C62">
        <v>1990</v>
      </c>
      <c r="D62">
        <v>365.08534372475771</v>
      </c>
      <c r="E62">
        <v>1592.4679528020747</v>
      </c>
    </row>
    <row r="63" spans="1:5" x14ac:dyDescent="0.3">
      <c r="A63" s="1">
        <v>45720</v>
      </c>
      <c r="B63">
        <v>0</v>
      </c>
      <c r="C63">
        <v>1983</v>
      </c>
      <c r="D63">
        <v>369.9701891949357</v>
      </c>
      <c r="E63">
        <v>1580.0759170860558</v>
      </c>
    </row>
    <row r="64" spans="1:5" x14ac:dyDescent="0.3">
      <c r="A64" s="1">
        <v>45727</v>
      </c>
      <c r="B64">
        <v>0</v>
      </c>
      <c r="C64">
        <v>1969</v>
      </c>
      <c r="D64">
        <v>392.43216915448369</v>
      </c>
      <c r="E64">
        <v>1590.5727198934997</v>
      </c>
    </row>
    <row r="65" spans="1:5" x14ac:dyDescent="0.3">
      <c r="A65" s="1">
        <v>45734</v>
      </c>
      <c r="B65">
        <v>0</v>
      </c>
      <c r="C65">
        <v>1916</v>
      </c>
      <c r="D65">
        <v>351.49497630027679</v>
      </c>
      <c r="E65">
        <v>1579.0482977234874</v>
      </c>
    </row>
    <row r="66" spans="1:5" x14ac:dyDescent="0.3">
      <c r="A66" s="1">
        <v>45741</v>
      </c>
      <c r="B66">
        <v>0</v>
      </c>
      <c r="C66">
        <v>2000</v>
      </c>
      <c r="D66">
        <v>389.24957837540472</v>
      </c>
      <c r="E66">
        <v>1587.5935361216439</v>
      </c>
    </row>
    <row r="67" spans="1:5" x14ac:dyDescent="0.3">
      <c r="A67" s="1">
        <v>45748</v>
      </c>
      <c r="B67">
        <v>0</v>
      </c>
      <c r="C67">
        <v>2087</v>
      </c>
      <c r="D67">
        <v>442.89404171122607</v>
      </c>
      <c r="E67">
        <v>1596.2685910417877</v>
      </c>
    </row>
    <row r="68" spans="1:5" x14ac:dyDescent="0.3">
      <c r="A68" s="1">
        <v>45755</v>
      </c>
      <c r="B68">
        <v>0</v>
      </c>
      <c r="C68">
        <v>2251</v>
      </c>
      <c r="D68">
        <v>518.4084539962505</v>
      </c>
      <c r="E68">
        <v>1611.5048362861232</v>
      </c>
    </row>
    <row r="69" spans="1:5" x14ac:dyDescent="0.3">
      <c r="A69" s="1">
        <v>45762</v>
      </c>
      <c r="B69">
        <v>0</v>
      </c>
      <c r="C69">
        <v>2165</v>
      </c>
      <c r="D69">
        <v>479.60723271664887</v>
      </c>
      <c r="E69">
        <v>1602.3670816913636</v>
      </c>
    </row>
    <row r="70" spans="1:5" x14ac:dyDescent="0.3">
      <c r="A70" s="1">
        <v>45769</v>
      </c>
      <c r="B70">
        <v>0</v>
      </c>
      <c r="C70">
        <v>2119</v>
      </c>
      <c r="D70">
        <v>456.66229155111375</v>
      </c>
      <c r="E70">
        <v>1604.6711939519287</v>
      </c>
    </row>
    <row r="71" spans="1:5" x14ac:dyDescent="0.3">
      <c r="A71" s="1">
        <v>45776</v>
      </c>
      <c r="B71">
        <v>0</v>
      </c>
      <c r="C71">
        <v>2138</v>
      </c>
      <c r="D71">
        <v>455.79609843566305</v>
      </c>
      <c r="E71">
        <v>1600.1629532987181</v>
      </c>
    </row>
    <row r="72" spans="1:5" x14ac:dyDescent="0.3">
      <c r="A72" s="1">
        <v>45783</v>
      </c>
      <c r="B72">
        <v>0</v>
      </c>
      <c r="C72">
        <v>2169</v>
      </c>
      <c r="D72">
        <v>480.96643862609238</v>
      </c>
      <c r="E72">
        <v>1622.2048591237856</v>
      </c>
    </row>
    <row r="73" spans="1:5" x14ac:dyDescent="0.3">
      <c r="A73" s="1">
        <v>45790</v>
      </c>
      <c r="B73">
        <v>0</v>
      </c>
      <c r="C73">
        <v>2155</v>
      </c>
      <c r="D73">
        <v>475.5862841075359</v>
      </c>
      <c r="E73">
        <v>1620.6375717550391</v>
      </c>
    </row>
    <row r="74" spans="1:5" x14ac:dyDescent="0.3">
      <c r="A74" s="1">
        <v>45797</v>
      </c>
      <c r="B74">
        <v>0</v>
      </c>
      <c r="C74">
        <v>2107</v>
      </c>
      <c r="D74">
        <v>453.5776420094968</v>
      </c>
      <c r="E74">
        <v>1599.5075395999229</v>
      </c>
    </row>
    <row r="75" spans="1:5" x14ac:dyDescent="0.3">
      <c r="A75" s="1">
        <v>45804</v>
      </c>
      <c r="B75">
        <v>0</v>
      </c>
      <c r="C75">
        <v>1964</v>
      </c>
      <c r="D75">
        <v>390.56720457623265</v>
      </c>
      <c r="E75">
        <v>1652.3759139577915</v>
      </c>
    </row>
    <row r="76" spans="1:5" x14ac:dyDescent="0.3">
      <c r="A76" s="1">
        <v>45811</v>
      </c>
      <c r="B76">
        <v>0</v>
      </c>
      <c r="C76">
        <v>1934</v>
      </c>
      <c r="D76">
        <v>363.91852130176619</v>
      </c>
      <c r="E76">
        <v>1638.6211616445378</v>
      </c>
    </row>
    <row r="77" spans="1:5" x14ac:dyDescent="0.3">
      <c r="A77" s="1">
        <v>45818</v>
      </c>
      <c r="B77">
        <v>1</v>
      </c>
      <c r="C77">
        <v>1923</v>
      </c>
      <c r="D77">
        <v>358.1525813237613</v>
      </c>
      <c r="E77">
        <v>1640.3065263186309</v>
      </c>
    </row>
    <row r="78" spans="1:5" x14ac:dyDescent="0.3">
      <c r="A78" s="1">
        <v>45825</v>
      </c>
      <c r="B78">
        <v>1</v>
      </c>
      <c r="C78">
        <v>1950</v>
      </c>
      <c r="D78">
        <v>369.70508152328551</v>
      </c>
      <c r="E78">
        <v>1625.2857251368939</v>
      </c>
    </row>
    <row r="79" spans="1:5" x14ac:dyDescent="0.3">
      <c r="A79" s="1">
        <v>45832</v>
      </c>
      <c r="B79">
        <v>1</v>
      </c>
      <c r="C79">
        <v>1809</v>
      </c>
      <c r="D79">
        <v>306.74016281727899</v>
      </c>
      <c r="E79">
        <v>1628.3639884398417</v>
      </c>
    </row>
    <row r="80" spans="1:5" x14ac:dyDescent="0.3">
      <c r="A80" s="1">
        <v>45839</v>
      </c>
      <c r="B80">
        <v>1</v>
      </c>
      <c r="C80">
        <v>1838</v>
      </c>
      <c r="D80">
        <v>338.3625307956811</v>
      </c>
      <c r="E80">
        <v>1666.2217966441253</v>
      </c>
    </row>
    <row r="81" spans="1:5" x14ac:dyDescent="0.3">
      <c r="A81" s="1">
        <v>45846</v>
      </c>
      <c r="B81">
        <v>1</v>
      </c>
      <c r="C81">
        <v>2036</v>
      </c>
      <c r="D81">
        <v>382.53357126471508</v>
      </c>
      <c r="E81">
        <v>1601.6749730732358</v>
      </c>
    </row>
    <row r="82" spans="1:5" x14ac:dyDescent="0.3">
      <c r="A82" s="1">
        <v>45853</v>
      </c>
      <c r="B82">
        <v>1</v>
      </c>
      <c r="C82">
        <v>2048</v>
      </c>
      <c r="D82">
        <v>398.21790028395787</v>
      </c>
      <c r="E82">
        <v>1607.3675367054675</v>
      </c>
    </row>
    <row r="83" spans="1:5" x14ac:dyDescent="0.3">
      <c r="A83" s="1">
        <v>45860</v>
      </c>
      <c r="B83">
        <v>1</v>
      </c>
      <c r="C83">
        <v>2284</v>
      </c>
      <c r="D83">
        <v>502.81265315365641</v>
      </c>
      <c r="E83">
        <v>1658.0171436579396</v>
      </c>
    </row>
    <row r="84" spans="1:5" x14ac:dyDescent="0.3">
      <c r="A84" s="1">
        <v>45867</v>
      </c>
      <c r="B84">
        <v>1</v>
      </c>
      <c r="C84">
        <v>2296</v>
      </c>
      <c r="D84">
        <v>504.49091823956968</v>
      </c>
      <c r="E84">
        <v>1607.7111736441534</v>
      </c>
    </row>
    <row r="85" spans="1:5" x14ac:dyDescent="0.3">
      <c r="A85" s="1">
        <v>45874</v>
      </c>
      <c r="B85">
        <v>1</v>
      </c>
      <c r="C85">
        <v>2157</v>
      </c>
      <c r="D85">
        <v>465.80825081907977</v>
      </c>
      <c r="E85">
        <v>1606.8116321572218</v>
      </c>
    </row>
    <row r="86" spans="1:5" x14ac:dyDescent="0.3">
      <c r="A86" s="1">
        <v>45881</v>
      </c>
      <c r="B86">
        <v>1</v>
      </c>
      <c r="C86">
        <v>2038</v>
      </c>
      <c r="D86">
        <v>403.0306975041143</v>
      </c>
      <c r="E86">
        <v>1588.7779537458246</v>
      </c>
    </row>
    <row r="87" spans="1:5" x14ac:dyDescent="0.3">
      <c r="A87" s="1">
        <v>45888</v>
      </c>
      <c r="B87">
        <v>1</v>
      </c>
      <c r="C87">
        <v>2040</v>
      </c>
      <c r="D87">
        <v>397.40064803313811</v>
      </c>
      <c r="E87">
        <v>1614.7077252632669</v>
      </c>
    </row>
    <row r="88" spans="1:5" x14ac:dyDescent="0.3">
      <c r="A88" s="1">
        <v>45895</v>
      </c>
      <c r="B88">
        <v>1</v>
      </c>
      <c r="C88">
        <v>1963</v>
      </c>
      <c r="D88">
        <v>402.78573389489975</v>
      </c>
      <c r="E88">
        <v>1610.7556798779008</v>
      </c>
    </row>
    <row r="89" spans="1:5" x14ac:dyDescent="0.3">
      <c r="A89" s="1">
        <v>45902</v>
      </c>
      <c r="B89">
        <v>1</v>
      </c>
      <c r="C89">
        <v>2030</v>
      </c>
      <c r="D89">
        <v>387.86122599308266</v>
      </c>
      <c r="E89">
        <v>1608.027257160154</v>
      </c>
    </row>
    <row r="90" spans="1:5" x14ac:dyDescent="0.3">
      <c r="A90" s="1">
        <v>45909</v>
      </c>
      <c r="B90">
        <v>1</v>
      </c>
      <c r="C90">
        <v>2114</v>
      </c>
      <c r="D90">
        <v>420.79774719349274</v>
      </c>
      <c r="E90">
        <v>1584.6966295642173</v>
      </c>
    </row>
    <row r="91" spans="1:5" x14ac:dyDescent="0.3">
      <c r="A91" s="1">
        <v>45916</v>
      </c>
      <c r="B91">
        <v>1</v>
      </c>
      <c r="C91">
        <v>1994</v>
      </c>
      <c r="D91">
        <v>403.34601049960781</v>
      </c>
      <c r="E91">
        <v>1588.1952866571883</v>
      </c>
    </row>
    <row r="92" spans="1:5" x14ac:dyDescent="0.3">
      <c r="A92" s="1">
        <v>45923</v>
      </c>
      <c r="B92">
        <v>1</v>
      </c>
      <c r="C92">
        <v>2048</v>
      </c>
      <c r="D92">
        <v>404.02054431752117</v>
      </c>
      <c r="E92">
        <v>1589.0592276565076</v>
      </c>
    </row>
    <row r="93" spans="1:5" x14ac:dyDescent="0.3">
      <c r="A93" s="1">
        <v>45930</v>
      </c>
      <c r="B93">
        <v>1</v>
      </c>
      <c r="C93">
        <v>2093</v>
      </c>
      <c r="D93">
        <v>411.20128473126869</v>
      </c>
      <c r="E93">
        <v>1628.4838128899376</v>
      </c>
    </row>
    <row r="94" spans="1:5" x14ac:dyDescent="0.3">
      <c r="A94" s="1">
        <v>45937</v>
      </c>
      <c r="B94">
        <v>0</v>
      </c>
      <c r="C94">
        <v>1907</v>
      </c>
      <c r="D94">
        <v>381.33419076917994</v>
      </c>
      <c r="E94">
        <v>1627.9372761871884</v>
      </c>
    </row>
    <row r="95" spans="1:5" x14ac:dyDescent="0.3">
      <c r="A95" s="1">
        <v>45944</v>
      </c>
      <c r="B95">
        <v>0</v>
      </c>
      <c r="C95">
        <v>1816</v>
      </c>
      <c r="D95">
        <v>331.89571602428583</v>
      </c>
      <c r="E95">
        <v>1616.3474136747511</v>
      </c>
    </row>
    <row r="96" spans="1:5" x14ac:dyDescent="0.3">
      <c r="A96" s="1">
        <v>45951</v>
      </c>
      <c r="B96">
        <v>0</v>
      </c>
      <c r="C96">
        <v>1882</v>
      </c>
      <c r="D96">
        <v>360.56563805966817</v>
      </c>
      <c r="E96">
        <v>1587.1857464305585</v>
      </c>
    </row>
    <row r="97" spans="1:5" x14ac:dyDescent="0.3">
      <c r="A97" s="1">
        <v>45958</v>
      </c>
      <c r="B97">
        <v>0</v>
      </c>
      <c r="C97">
        <v>2041</v>
      </c>
      <c r="D97">
        <v>443.13470149825793</v>
      </c>
      <c r="E97">
        <v>1595.1817201094814</v>
      </c>
    </row>
    <row r="98" spans="1:5" x14ac:dyDescent="0.3">
      <c r="A98" s="1">
        <v>45965</v>
      </c>
      <c r="B98">
        <v>0</v>
      </c>
      <c r="C98">
        <v>2111</v>
      </c>
      <c r="D98">
        <v>443.61769187259677</v>
      </c>
      <c r="E98">
        <v>1614.9978547939204</v>
      </c>
    </row>
    <row r="99" spans="1:5" x14ac:dyDescent="0.3">
      <c r="A99" s="1">
        <v>45972</v>
      </c>
      <c r="B99">
        <v>0</v>
      </c>
      <c r="C99">
        <v>1995</v>
      </c>
      <c r="D99">
        <v>394.96342110118985</v>
      </c>
      <c r="E99">
        <v>1588.4029900174198</v>
      </c>
    </row>
    <row r="100" spans="1:5" x14ac:dyDescent="0.3">
      <c r="A100" s="1">
        <v>45979</v>
      </c>
      <c r="B100">
        <v>0</v>
      </c>
      <c r="C100">
        <v>2040</v>
      </c>
      <c r="D100">
        <v>390.03163522901934</v>
      </c>
      <c r="E100">
        <v>1609.4385439850469</v>
      </c>
    </row>
    <row r="101" spans="1:5" x14ac:dyDescent="0.3">
      <c r="A101" s="1">
        <v>45986</v>
      </c>
      <c r="B101">
        <v>0</v>
      </c>
      <c r="C101">
        <v>1835</v>
      </c>
      <c r="D101">
        <v>324.45802149961344</v>
      </c>
      <c r="E101">
        <v>1608.8532708002651</v>
      </c>
    </row>
    <row r="102" spans="1:5" x14ac:dyDescent="0.3">
      <c r="A102" s="1">
        <v>45993</v>
      </c>
      <c r="B102">
        <v>0</v>
      </c>
      <c r="C102">
        <v>1774</v>
      </c>
      <c r="D102">
        <v>311.00477873306886</v>
      </c>
      <c r="E102">
        <v>1578.4164750517375</v>
      </c>
    </row>
    <row r="103" spans="1:5" x14ac:dyDescent="0.3">
      <c r="A103" s="1">
        <v>46000</v>
      </c>
      <c r="B103">
        <v>0</v>
      </c>
      <c r="C103">
        <v>1872</v>
      </c>
      <c r="D103">
        <v>329.911620405147</v>
      </c>
      <c r="E103">
        <v>1571.1773844610716</v>
      </c>
    </row>
    <row r="104" spans="1:5" x14ac:dyDescent="0.3">
      <c r="A104" s="1">
        <v>46007</v>
      </c>
      <c r="B104">
        <v>0</v>
      </c>
      <c r="C104">
        <v>2020</v>
      </c>
      <c r="D104">
        <v>359.45673503370682</v>
      </c>
      <c r="E104">
        <v>1614.026310631675</v>
      </c>
    </row>
    <row r="105" spans="1:5" x14ac:dyDescent="0.3">
      <c r="A105" s="1">
        <v>46014</v>
      </c>
      <c r="B105">
        <v>0</v>
      </c>
      <c r="C105">
        <v>2096</v>
      </c>
      <c r="D105">
        <v>371.10788550147817</v>
      </c>
      <c r="E105">
        <v>1617.6863205985567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Bridgestone_MMM</vt:lpstr>
      <vt:lpstr>Actual_vs_OLS_vs_Ridge</vt:lpstr>
      <vt:lpstr>Hill_Saturation</vt:lpstr>
      <vt:lpstr>Monsoon_vs_Sales_units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2026-03-15T18:55:18Z</dcterms:created>
  <dcterms:modified xsi:type="dcterms:W3CDTF">2026-05-07T10:52:09Z</dcterms:modified>
</cp:coreProperties>
</file>